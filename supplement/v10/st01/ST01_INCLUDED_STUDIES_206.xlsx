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a4462bf5a42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e354532f32447b3"/>
    <x:sheet xmlns:r="http://schemas.openxmlformats.org/officeDocument/2006/relationships" name="ST01 Included Studies" sheetId="2" r:id="R73197a7e89d9448b"/>
    <x:sheet xmlns:r="http://schemas.openxmlformats.org/officeDocument/2006/relationships" name="Report Count Summary" sheetId="3" r:id="R8d3c2ba31bb84de6"/>
    <x:sheet xmlns:r="http://schemas.openxmlformats.org/officeDocument/2006/relationships" name="Eligible Report Lineage" sheetId="4" r:id="R44654d4a1c6f44f9"/>
    <x:sheet xmlns:r="http://schemas.openxmlformats.org/officeDocument/2006/relationships" name="Companion Provenance" sheetId="5" r:id="Rcc1741fc33b34a74"/>
    <x:sheet xmlns:r="http://schemas.openxmlformats.org/officeDocument/2006/relationships" name="Guardrail Metrics" sheetId="6" r:id="Ra9ea18b9ad2f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6"/>
      <x:color rgb="FFFFFFFF"/>
      <x:name val="Aptos"/>
    </x:font>
    <x:font>
      <x:b/>
      <x:sz val="11"/>
      <x:name val="Aptos"/>
    </x:font>
    <x:font>
      <x:sz val="10"/>
      <x:name val="Aptos"/>
    </x:font>
    <x:font>
      <x:sz val="9"/>
      <x:name val="Aptos"/>
    </x:font>
    <x:font>
      <x:b/>
      <x:sz val="9"/>
      <x:color rgb="FFFFFFFF"/>
      <x:name val="Aptos"/>
    </x:font>
    <x:font>
      <x:b/>
      <x:sz val="14"/>
      <x:color rgb="FFFFFFFF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b/>
      <x:sz val="1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2" borderId="0" xfId="0" applyNumberFormat="1" applyFont="1" applyFill="1" applyBorder="1"/>
    <x:xf numFmtId="0" fontId="3" fillId="0" borderId="0" xfId="0" applyNumberFormat="1" applyFont="1" applyFill="1" applyBorder="1"/>
    <x:xf numFmtId="0" fontId="8" fillId="6" borderId="0" xfId="0" applyNumberFormat="1" applyFont="1" applyFill="1" applyBorder="1"/>
    <x:xf numFmtId="0" fontId="9" fillId="3" borderId="0" xfId="0" applyNumberFormat="1" applyFont="1" applyFill="1" applyBorder="1"/>
    <x:xf numFmtId="200" fontId="3" fillId="0" borderId="0" xfId="0" applyNumberFormat="1" applyFont="1" applyFill="1" applyBorder="1"/>
    <x:xf numFmtId="0" fontId="8" fillId="6" borderId="1" xfId="0" applyNumberFormat="1" applyFont="1" applyFill="1" applyBorder="1"/>
    <x:xf numFmtId="0" fontId="9" fillId="3" borderId="2" xfId="0" applyNumberFormat="1" applyFont="1" applyFill="1" applyBorder="1"/>
    <x:xf numFmtId="200" fontId="3" fillId="0" borderId="2" xfId="0" applyNumberFormat="1" applyFont="1" applyFill="1" applyBorder="1"/>
    <x:xf numFmtId="0" fontId="3" fillId="0" borderId="2" xfId="0" applyNumberFormat="1" applyFont="1" applyFill="1" applyBorder="1"/>
    <x:xf numFmtId="0" fontId="9" fillId="3" borderId="3" xfId="0" applyNumberFormat="1" applyFont="1" applyFill="1" applyBorder="1"/>
    <x:xf numFmtId="200" fontId="3" fillId="0" borderId="3" xfId="0" applyNumberFormat="1" applyFont="1" applyFill="1" applyBorder="1"/>
    <x:xf numFmtId="0" fontId="3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5b61f2f834604" /><Relationship Type="http://schemas.openxmlformats.org/officeDocument/2006/relationships/theme" Target="/xl/theme/theme1.xml" Id="R51ec226035374cf9" /><Relationship Type="http://schemas.openxmlformats.org/officeDocument/2006/relationships/sharedStrings" Target="/xl/sharedStrings.xml" Id="Rfa6b18c403f5405c" /><Relationship Type="http://schemas.openxmlformats.org/officeDocument/2006/relationships/worksheet" Target="/xl/worksheets/sheet1.xml" Id="Rfe354532f32447b3" /><Relationship Type="http://schemas.openxmlformats.org/officeDocument/2006/relationships/worksheet" Target="/xl/worksheets/sheet2.xml" Id="R73197a7e89d9448b" /><Relationship Type="http://schemas.openxmlformats.org/officeDocument/2006/relationships/worksheet" Target="/xl/worksheets/sheet3.xml" Id="R8d3c2ba31bb84de6" /><Relationship Type="http://schemas.openxmlformats.org/officeDocument/2006/relationships/worksheet" Target="/xl/worksheets/sheet4.xml" Id="R44654d4a1c6f44f9" /><Relationship Type="http://schemas.openxmlformats.org/officeDocument/2006/relationships/worksheet" Target="/xl/worksheets/sheet5.xml" Id="Rcc1741fc33b34a74" /><Relationship Type="http://schemas.openxmlformats.org/officeDocument/2006/relationships/worksheet" Target="/xl/worksheets/sheet6.xml" Id="Ra9ea18b9ad2f4255" /></Relationships>
</file>

<file path=xl/tables/table1.xml><?xml version="1.0" encoding="utf-8"?>
<x:table xmlns:x="http://schemas.openxmlformats.org/spreadsheetml/2006/main" id="1" name="ST01IncludedStudies206" displayName="ST01IncludedStudies206" ref="A1:AE207" headerRowCount="1" totalsRowCount="0" totalsRowShown="0">
  <x:tableColumns count="31">
    <x:tableColumn id="1" name="study_id"/>
    <x:tableColumn id="2" name="primary_screening_record_id"/>
    <x:tableColumn id="3" name="citation_key"/>
    <x:tableColumn id="4" name="primary_report_citation_key"/>
    <x:tableColumn id="5" name="companion_report_citation_keys"/>
    <x:tableColumn id="6" name="eligible_report_citation_keys"/>
    <x:tableColumn id="7" name="citation_command"/>
    <x:tableColumn id="8" name="author_year"/>
    <x:tableColumn id="9" name="title"/>
    <x:tableColumn id="10" name="year"/>
    <x:tableColumn id="11" name="venue"/>
    <x:tableColumn id="12" name="doi"/>
    <x:tableColumn id="13" name="primary_report_id"/>
    <x:tableColumn id="14" name="eligible_report_count"/>
    <x:tableColumn id="15" name="companion_eligible_report_count"/>
    <x:tableColumn id="16" name="eligible_report_ids"/>
    <x:tableColumn id="17" name="report_citation_count"/>
    <x:tableColumn id="18" name="extracted_evidence_row_count"/>
    <x:tableColumn id="19" name="extracted_metric_row_count"/>
    <x:tableColumn id="20" name="governed_tradeoff_row_count"/>
    <x:tableColumn id="21" name="report_specific_guardrail_metric_count"/>
    <x:tableColumn id="22" name="pending_human_blocked_report_ids"/>
    <x:tableColumn id="23" name="synthesis_use_gate"/>
    <x:tableColumn id="24" name="modality"/>
    <x:tableColumn id="25" name="integration_mechanisms"/>
    <x:tableColumn id="26" name="communication_functions"/>
    <x:tableColumn id="27" name="sensing_tasks"/>
    <x:tableColumn id="28" name="validation_maturity_max"/>
    <x:tableColumn id="29" name="validation_types"/>
    <x:tableColumn id="30" name="application_domains"/>
    <x:tableColumn id="31" name="six_g_relev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igibleReportLineage227" displayName="EligibleReportLineage227" ref="A1:AA228" headerRowCount="1" totalsRowCount="0" totalsRowShown="0">
  <x:tableColumns count="27">
    <x:tableColumn id="1" name="study_id"/>
    <x:tableColumn id="2" name="study_citation_key"/>
    <x:tableColumn id="3" name="report_id"/>
    <x:tableColumn id="4" name="screening_record_id"/>
    <x:tableColumn id="5" name="report_citation_key"/>
    <x:tableColumn id="6" name="report_citation_command"/>
    <x:tableColumn id="7" name="report_evidence_role"/>
    <x:tableColumn id="8" name="report_relation_code"/>
    <x:tableColumn id="9" name="report_role"/>
    <x:tableColumn id="10" name="title"/>
    <x:tableColumn id="11" name="authors"/>
    <x:tableColumn id="12" name="year"/>
    <x:tableColumn id="13" name="venue"/>
    <x:tableColumn id="14" name="doi"/>
    <x:tableColumn id="15" name="source_url"/>
    <x:tableColumn id="16" name="document_type"/>
    <x:tableColumn id="17" name="extracted_evidence_row_count"/>
    <x:tableColumn id="18" name="extracted_metric_row_count"/>
    <x:tableColumn id="19" name="governed_tradeoff_row_count"/>
    <x:tableColumn id="20" name="report_specific_guardrail_metric_count"/>
    <x:tableColumn id="21" name="pending_human_token_count_all_statuses"/>
    <x:tableColumn id="22" name="pending_human_token_resolved_or_approved_count"/>
    <x:tableColumn id="23" name="unresolved_pending_human_row_count"/>
    <x:tableColumn id="24" name="unresolved_pending_human_row_count_companion_lineage_gate"/>
    <x:tableColumn id="25" name="synthesis_use_gate"/>
    <x:tableColumn id="26" name="provenance_status"/>
    <x:tableColumn id="27" name="provenance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nionProvenance21" displayName="CompanionProvenance21" ref="A1:Z22" headerRowCount="1" totalsRowCount="0" totalsRowShown="0">
  <x:tableColumns count="26">
    <x:tableColumn id="1" name="study_id"/>
    <x:tableColumn id="2" name="study_primary_citation_key"/>
    <x:tableColumn id="3" name="companion_report_id"/>
    <x:tableColumn id="4" name="companion_screening_record_id"/>
    <x:tableColumn id="5" name="companion_report_citation_key"/>
    <x:tableColumn id="6" name="companion_report_citation_command"/>
    <x:tableColumn id="7" name="relation_code"/>
    <x:tableColumn id="8" name="report_role"/>
    <x:tableColumn id="9" name="title"/>
    <x:tableColumn id="10" name="year"/>
    <x:tableColumn id="11" name="venue"/>
    <x:tableColumn id="12" name="doi"/>
    <x:tableColumn id="13" name="source_url"/>
    <x:tableColumn id="14" name="extracted_evidence_row_count"/>
    <x:tableColumn id="15" name="evidence_record_ids"/>
    <x:tableColumn id="16" name="extracted_metric_row_count"/>
    <x:tableColumn id="17" name="metric_record_ids"/>
    <x:tableColumn id="18" name="governed_tradeoff_row_count"/>
    <x:tableColumn id="19" name="tradeoff_record_ids"/>
    <x:tableColumn id="20" name="report_specific_guardrail_metric_count"/>
    <x:tableColumn id="21" name="pending_human_token_count"/>
    <x:tableColumn id="22" name="pending_human_token_resolved_or_approved_count"/>
    <x:tableColumn id="23" name="unresolved_pending_human_row_count"/>
    <x:tableColumn id="24" name="synthesis_use_gate"/>
    <x:tableColumn id="25" name="source_workbook_sha256"/>
    <x:tableColumn id="26" name="exact_provenance_stateme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anionGuardrailMetrics14" displayName="CompanionGuardrailMetrics14" ref="A1:X15" headerRowCount="1" totalsRowCount="0" totalsRowShown="0">
  <x:tableColumns count="24">
    <x:tableColumn id="1" name="study_id"/>
    <x:tableColumn id="2" name="companion_report_id"/>
    <x:tableColumn id="3" name="companion_screening_record_id"/>
    <x:tableColumn id="4" name="companion_report_citation_key"/>
    <x:tableColumn id="5" name="metric_record_id"/>
    <x:tableColumn id="6" name="metric_domain"/>
    <x:tableColumn id="7" name="metric_family_code"/>
    <x:tableColumn id="8" name="metric_name_reported"/>
    <x:tableColumn id="9" name="value_numeric"/>
    <x:tableColumn id="10" name="value_low"/>
    <x:tableColumn id="11" name="value_high"/>
    <x:tableColumn id="12" name="unit_reported"/>
    <x:tableColumn id="13" name="condition_set_id"/>
    <x:tableColumn id="14" name="scenario_summary"/>
    <x:tableColumn id="15" name="baseline_comparator"/>
    <x:tableColumn id="16" name="source_locator"/>
    <x:tableColumn id="17" name="conflict_flag"/>
    <x:tableColumn id="18" name="final_claim_status"/>
    <x:tableColumn id="19" name="final_survey_use_class"/>
    <x:tableColumn id="20" name="final_comparison_admissibility"/>
    <x:tableColumn id="21" name="cross_study_quantitative_comparison_allowed"/>
    <x:tableColumn id="22" name="final_reason_code"/>
    <x:tableColumn id="23" name="synthesis_use_gate"/>
    <x:tableColumn id="24" name="guardrail_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e13a84da3843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88cbc743f8143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168bb6ffac342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0c74004fd9445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2" t="str">
        <x:v>PRISMA 2020 Item 17 — Study and Eligible-Report Register</x:v>
      </x:c>
      <x:c r="B1" s="2"/>
      <x:c r="C1" s="2"/>
      <x:c r="D1" s="2"/>
      <x:c r="E1" s="2"/>
      <x:c r="F1" s="2"/>
    </x:row>
    <x:row r="3">
      <x:c r="A3" s="4" t="str">
        <x:v>Governed unit</x:v>
      </x:c>
      <x:c r="B3" t="str">
        <x:v>Unique included studies</x:v>
      </x:c>
    </x:row>
    <x:row r="4">
      <x:c r="A4" s="4" t="str">
        <x:v>Unique studies</x:v>
      </x:c>
      <x:c r="B4" s="5" t="n">
        <x:f>COUNTA('ST01 Included Studies'!A:A)-1</x:f>
        <x:v>206</x:v>
      </x:c>
    </x:row>
    <x:row r="5">
      <x:c r="A5" s="4" t="str">
        <x:v>Eligible reports</x:v>
      </x:c>
      <x:c r="B5" s="5" t="n">
        <x:f>COUNTA('Eligible Report Lineage'!A:A)-1</x:f>
        <x:v>227</x:v>
      </x:c>
    </x:row>
    <x:row r="6">
      <x:c r="A6" s="4" t="str">
        <x:v>Primary reports</x:v>
      </x:c>
      <x:c r="B6" s="5" t="n">
        <x:f>COUNTIF('Eligible Report Lineage'!G:G,"primary_source")</x:f>
        <x:v>206</x:v>
      </x:c>
    </x:row>
    <x:row r="7">
      <x:c r="A7" s="4" t="str">
        <x:v>Companion reports</x:v>
      </x:c>
      <x:c r="B7" s="5" t="n">
        <x:f>COUNTIF('Eligible Report Lineage'!G:G,"supplementary_source")</x:f>
        <x:v>21</x:v>
      </x:c>
    </x:row>
    <x:row r="8">
      <x:c r="A8" s="4" t="str">
        <x:v>Report-key completeness</x:v>
      </x:c>
      <x:c r="B8" t="str">
        <x:f>COUNTA('Eligible Report Lineage'!E:E)-1&amp;"/227"</x:f>
        <x:v>227/227</x:v>
      </x:c>
    </x:row>
    <x:row r="9">
      <x:c r="A9" s="4" t="str">
        <x:v>Companion provenance</x:v>
      </x:c>
      <x:c r="B9" s="5" t="n">
        <x:f>COUNTA('Companion Provenance'!A:A)-1</x:f>
        <x:v>21</x:v>
      </x:c>
    </x:row>
    <x:row r="10">
      <x:c r="A10" s="4" t="str">
        <x:v>Guardrail metrics</x:v>
      </x:c>
      <x:c r="B10" s="5" t="n">
        <x:f>COUNTA('Guardrail Metrics'!A:A)-1</x:f>
        <x:v>14</x:v>
      </x:c>
    </x:row>
    <x:row r="11">
      <x:c r="A11" s="4" t="str">
        <x:v>Unresolved pending rows</x:v>
      </x:c>
      <x:c r="B11" s="5" t="n">
        <x:f>SUM('Companion Provenance'!W:W)</x:f>
        <x:v>0</x:v>
      </x:c>
    </x:row>
    <x:row r="12">
      <x:c r="A12" s="4" t="str">
        <x:v>Orphan evidence sources</x:v>
      </x:c>
      <x:c r="B12" s="5" t="n">
        <x:v>0</x:v>
      </x:c>
    </x:row>
    <x:row r="14">
      <x:c r="A14" s="9" t="str">
        <x:v>Interpretation: ST-01 contains 206 study rows but resolves all 227 eligible reports. The 21 companion reports remain linked to their underlying studies and carry exact evidence, metric, and tradeoff provenance. A historical pending-human token blocks synthesis only when no resolved or approved adjudication is recorded; unresolved rows are currently zero and report-specific guardrails remain active.</x:v>
      </x:c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9">
      <x:c r="A19" s="13" t="str">
        <x:v>Source files: ST01_INCLUDED_STUDIES_206.csv; ST01_ELIGIBLE_REPORT_LINEAGE_227.csv; ST01_COMPANION_REPORT_PROVENANCE_21.csv; ST01_COMPANION_GUARDRAIL_METRICS_14.csv.</x:v>
      </x:c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</x:sheetData>
  <x:mergeCells>
    <x:mergeCell ref="A1:F1"/>
    <x:mergeCell ref="A14:F17"/>
    <x:mergeCell ref="A19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4" hidden="0" customWidth="1"/>
    <x:col min="4" max="4" width="24" hidden="0" customWidth="1"/>
    <x:col min="5" max="5" width="38" hidden="0" customWidth="1"/>
    <x:col min="6" max="6" width="38" hidden="0" customWidth="1"/>
    <x:col min="7" max="7" width="24" hidden="0" customWidth="1"/>
    <x:col min="8" max="8" width="22" hidden="0" customWidth="1"/>
    <x:col min="9" max="9" width="48" hidden="0" customWidth="1"/>
    <x:col min="10" max="10" width="13" hidden="0" customWidth="1"/>
    <x:col min="11" max="11" width="34" hidden="0" customWidth="1"/>
    <x:col min="12" max="12" width="30" hidden="0" customWidth="1"/>
    <x:col min="13" max="13" width="28" hidden="0" customWidth="1"/>
    <x:col min="14" max="14" width="13" hidden="0" customWidth="1"/>
    <x:col min="15" max="15" width="13" hidden="0" customWidth="1"/>
    <x:col min="16" max="16" width="28" hidden="0" customWidth="1"/>
    <x:col min="17" max="17" width="24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28" hidden="0" customWidth="1"/>
    <x:col min="23" max="23" width="24" hidden="0" customWidth="1"/>
    <x:col min="24" max="24" width="22" hidden="0" customWidth="1"/>
    <x:col min="25" max="25" width="30" hidden="0" customWidth="1"/>
    <x:col min="26" max="26" width="22" hidden="0" customWidth="1"/>
    <x:col min="27" max="27" width="22" hidden="0" customWidth="1"/>
    <x:col min="28" max="28" width="30" hidden="0" customWidth="1"/>
    <x:col min="29" max="29" width="30" hidden="0" customWidth="1"/>
    <x:col min="30" max="30" width="30" hidden="0" customWidth="1"/>
    <x:col min="31" max="31" width="22" hidden="0" customWidth="1"/>
  </x:cols>
  <x:sheetData>
    <x:row r="1" ht="38" customHeight="1">
      <x:c r="A1" s="20" t="str">
        <x:v>study_id</x:v>
      </x:c>
      <x:c r="B1" s="20" t="str">
        <x:v>primary_screening_record_id</x:v>
      </x:c>
      <x:c r="C1" s="20" t="str">
        <x:v>citation_key</x:v>
      </x:c>
      <x:c r="D1" s="20" t="str">
        <x:v>primary_report_citation_key</x:v>
      </x:c>
      <x:c r="E1" s="20" t="str">
        <x:v>companion_report_citation_keys</x:v>
      </x:c>
      <x:c r="F1" s="20" t="str">
        <x:v>eligible_report_citation_keys</x:v>
      </x:c>
      <x:c r="G1" s="20" t="str">
        <x:v>citation_command</x:v>
      </x:c>
      <x:c r="H1" s="20" t="str">
        <x:v>author_year</x:v>
      </x:c>
      <x:c r="I1" s="20" t="str">
        <x:v>title</x:v>
      </x:c>
      <x:c r="J1" s="20" t="str">
        <x:v>year</x:v>
      </x:c>
      <x:c r="K1" s="20" t="str">
        <x:v>venue</x:v>
      </x:c>
      <x:c r="L1" s="20" t="str">
        <x:v>doi</x:v>
      </x:c>
      <x:c r="M1" s="20" t="str">
        <x:v>primary_report_id</x:v>
      </x:c>
      <x:c r="N1" s="20" t="str">
        <x:v>eligible_report_count</x:v>
      </x:c>
      <x:c r="O1" s="20" t="str">
        <x:v>companion_eligible_report_count</x:v>
      </x:c>
      <x:c r="P1" s="20" t="str">
        <x:v>eligible_report_ids</x:v>
      </x:c>
      <x:c r="Q1" s="20" t="str">
        <x:v>report_citation_count</x:v>
      </x:c>
      <x:c r="R1" s="20" t="str">
        <x:v>extracted_evidence_row_count</x:v>
      </x:c>
      <x:c r="S1" s="20" t="str">
        <x:v>extracted_metric_row_count</x:v>
      </x:c>
      <x:c r="T1" s="20" t="str">
        <x:v>governed_tradeoff_row_count</x:v>
      </x:c>
      <x:c r="U1" s="20" t="str">
        <x:v>report_specific_guardrail_metric_count</x:v>
      </x:c>
      <x:c r="V1" s="20" t="str">
        <x:v>pending_human_blocked_report_ids</x:v>
      </x:c>
      <x:c r="W1" s="20" t="str">
        <x:v>synthesis_use_gate</x:v>
      </x:c>
      <x:c r="X1" s="20" t="str">
        <x:v>modality</x:v>
      </x:c>
      <x:c r="Y1" s="20" t="str">
        <x:v>integration_mechanisms</x:v>
      </x:c>
      <x:c r="Z1" s="20" t="str">
        <x:v>communication_functions</x:v>
      </x:c>
      <x:c r="AA1" s="20" t="str">
        <x:v>sensing_tasks</x:v>
      </x:c>
      <x:c r="AB1" s="20" t="str">
        <x:v>validation_maturity_max</x:v>
      </x:c>
      <x:c r="AC1" s="20" t="str">
        <x:v>validation_types</x:v>
      </x:c>
      <x:c r="AD1" s="20" t="str">
        <x:v>application_domains</x:v>
      </x:c>
      <x:c r="AE1" s="20" t="str">
        <x:v>six_g_relevance</x:v>
      </x:c>
    </x:row>
    <x:row r="2" ht="42" customHeight="1">
      <x:c r="A2" s="21" t="str">
        <x:v>STC-ACO-OFDM-LFM-LIDAR-2025</x:v>
      </x:c>
      <x:c r="B2" s="21" t="str">
        <x:v>SCR-01115</x:v>
      </x:c>
      <x:c r="C2" s="21" t="str">
        <x:v>OISAC_SCR01115</x:v>
      </x:c>
      <x:c r="D2" s="21" t="str">
        <x:v>OISAC_SCR01115</x:v>
      </x:c>
      <x:c r="E2" s="21" t="str"/>
      <x:c r="F2" s="21" t="str">
        <x:v>OISAC_SCR01115</x:v>
      </x:c>
      <x:c r="G2" s="21" t="str">
        <x:v>\cite{OISAC_SCR01115}</x:v>
      </x:c>
      <x:c r="H2" s="21" t="str">
        <x:v>Zhou et al. (2024)</x:v>
      </x:c>
      <x:c r="I2" s="21" t="str">
        <x:v>Integrated Design of OFDM-LFM Lidar Communication in IoV Environment</x:v>
      </x:c>
      <x:c r="J2" s="23" t="str">
        <x:v>2024</x:v>
      </x:c>
      <x:c r="K2" s="21" t="str">
        <x:v>2024 IEEE 12th International Conference on Information, Communication and Networks (ICICN)</x:v>
      </x:c>
      <x:c r="L2" s="21" t="str">
        <x:v>10.1109/icicn62625.2024.10761294</x:v>
      </x:c>
      <x:c r="M2" s="21" t="str">
        <x:v>RPT-SCR-01115-01</x:v>
      </x:c>
      <x:c r="N2" s="23" t="str">
        <x:v>1</x:v>
      </x:c>
      <x:c r="O2" s="23" t="str">
        <x:v>0</x:v>
      </x:c>
      <x:c r="P2" s="21" t="str">
        <x:v>RPT-SCR-01115-01</x:v>
      </x:c>
      <x:c r="Q2" s="23" t="str">
        <x:v>1</x:v>
      </x:c>
      <x:c r="R2" s="23" t="str">
        <x:v>12</x:v>
      </x:c>
      <x:c r="S2" s="23" t="str">
        <x:v>27</x:v>
      </x:c>
      <x:c r="T2" s="23" t="str">
        <x:v>2</x:v>
      </x:c>
      <x:c r="U2" s="23" t="str">
        <x:v>0</x:v>
      </x:c>
      <x:c r="V2" s="21" t="str"/>
      <x:c r="W2" s="21" t="str">
        <x:v>governed_eligible</x:v>
      </x:c>
      <x:c r="X2" s="21" t="str">
        <x:v>FSO</x:v>
      </x:c>
      <x:c r="Y2" s="21" t="str">
        <x:v>shared_waveform; shared_hardware; shared_resource_allocation</x:v>
      </x:c>
      <x:c r="Z2" s="21" t="str">
        <x:v>inter_vehicle_optical_data_transmission; 4QAM_demodulation; BER_evaluation</x:v>
      </x:c>
      <x:c r="AA2" s="21" t="str">
        <x:v>LiDAR_ranging; distance_resolution; velocity_resolution</x:v>
      </x:c>
      <x:c r="AB2" s="21" t="str">
        <x:v>4</x:v>
      </x:c>
      <x:c r="AC2" s="21" t="str">
        <x:v>simulation; laboratory_experiment</x:v>
      </x:c>
      <x:c r="AD2" s="21" t="str">
        <x:v>vehicular</x:v>
      </x:c>
      <x:c r="AE2" s="21" t="str">
        <x:v>inferred</x:v>
      </x:c>
    </x:row>
    <x:row r="3" ht="42" customHeight="1">
      <x:c r="A3" s="21" t="str">
        <x:v>STC-DP-IMDD-THZ-RANGING-2025-2026</x:v>
      </x:c>
      <x:c r="B3" s="21" t="str">
        <x:v>SCR-00989</x:v>
      </x:c>
      <x:c r="C3" s="21" t="str">
        <x:v>OISAC_SCR00989</x:v>
      </x:c>
      <x:c r="D3" s="21" t="str">
        <x:v>OISAC_SCR00989</x:v>
      </x:c>
      <x:c r="E3" s="21" t="str">
        <x:v>OISAC_SCR00933</x:v>
      </x:c>
      <x:c r="F3" s="21" t="str">
        <x:v>OISAC_SCR00989; OISAC_SCR00933</x:v>
      </x:c>
      <x:c r="G3" s="21" t="str">
        <x:v>\cite{OISAC_SCR00989,OISAC_SCR00933}</x:v>
      </x:c>
      <x:c r="H3" s="21" t="str">
        <x:v>Shi et al. (2026)</x:v>
      </x:c>
      <x:c r="I3" s="21" t="str">
        <x:v>310Gbps Transmission and Centimeter-Level Ranging Photonic THz ISAC System</x:v>
      </x:c>
      <x:c r="J3" s="23" t="str">
        <x:v>2026</x:v>
      </x:c>
      <x:c r="K3" s="21" t="str">
        <x:v>Journal of Lightwave Technology</x:v>
      </x:c>
      <x:c r="L3" s="21" t="str">
        <x:v>10.1109/jlt.2026.3694092</x:v>
      </x:c>
      <x:c r="M3" s="21" t="str">
        <x:v>RPT-SCR-00989-01</x:v>
      </x:c>
      <x:c r="N3" s="23" t="str">
        <x:v>2</x:v>
      </x:c>
      <x:c r="O3" s="23" t="str">
        <x:v>1</x:v>
      </x:c>
      <x:c r="P3" s="21" t="str">
        <x:v>RPT-SCR-00989-01; RPT-SCR-00933-01</x:v>
      </x:c>
      <x:c r="Q3" s="23" t="str">
        <x:v>2</x:v>
      </x:c>
      <x:c r="R3" s="23" t="str">
        <x:v>16</x:v>
      </x:c>
      <x:c r="S3" s="23" t="str">
        <x:v>20</x:v>
      </x:c>
      <x:c r="T3" s="23" t="str">
        <x:v>0</x:v>
      </x:c>
      <x:c r="U3" s="23" t="str">
        <x:v>0</x:v>
      </x:c>
      <x:c r="V3" s="21" t="str"/>
      <x:c r="W3" s="21" t="str">
        <x:v>governed_eligible</x:v>
      </x:c>
      <x:c r="X3" s="21" t="str">
        <x:v>photonic_THz</x:v>
      </x:c>
      <x:c r="Y3" s="21" t="str">
        <x:v>shared_hardware; shared_resource_allocation</x:v>
      </x:c>
      <x:c r="Z3" s="21" t="str">
        <x:v>dual_polarization_PCS_OFDM_transmission; entropy_loading; rate_adaptation; IMDD_data_detection</x:v>
      </x:c>
      <x:c r="AA3" s="21" t="str">
        <x:v>one_dimensional_distance_ranging; user_distance_estimation; channel_fingerprint_sensing</x:v>
      </x:c>
      <x:c r="AB3" s="21" t="str">
        <x:v>5</x:v>
      </x:c>
      <x:c r="AC3" s="21" t="str">
        <x:v>analytical; laboratory_experiment; prototype_testbed</x:v>
      </x:c>
      <x:c r="AD3" s="21" t="str">
        <x:v>6G_access; indoor_positioning</x:v>
      </x:c>
      <x:c r="AE3" s="21" t="str">
        <x:v>direct</x:v>
      </x:c>
    </x:row>
    <x:row r="4" ht="42" customHeight="1">
      <x:c r="A4" s="21" t="str">
        <x:v>STC-DSCM-ANN-DT-ECL-2025-2026</x:v>
      </x:c>
      <x:c r="B4" s="21" t="str">
        <x:v>SCR-01185</x:v>
      </x:c>
      <x:c r="C4" s="21" t="str">
        <x:v>OISAC_SCR01185</x:v>
      </x:c>
      <x:c r="D4" s="21" t="str">
        <x:v>OISAC_SCR01185</x:v>
      </x:c>
      <x:c r="E4" s="21" t="str">
        <x:v>OISAC_SCR00722</x:v>
      </x:c>
      <x:c r="F4" s="21" t="str">
        <x:v>OISAC_SCR01185; OISAC_SCR00722</x:v>
      </x:c>
      <x:c r="G4" s="21" t="str">
        <x:v>\cite{OISAC_SCR01185,OISAC_SCR00722}</x:v>
      </x:c>
      <x:c r="H4" s="21" t="str">
        <x:v>Bang (2026)</x:v>
      </x:c>
      <x:c r="I4" s="21" t="str">
        <x:v>Machine-learning-enhanced phase-based vibration sensing in coherent DSCM systems under commercial ECLs</x:v>
      </x:c>
      <x:c r="J4" s="23" t="str">
        <x:v>2026</x:v>
      </x:c>
      <x:c r="K4" s="21" t="str">
        <x:v>Science China Information Sciences</x:v>
      </x:c>
      <x:c r="L4" s="21" t="str">
        <x:v>10.1007/s11432-025-4902-8</x:v>
      </x:c>
      <x:c r="M4" s="21" t="str">
        <x:v>RPT-SCR-01185-01</x:v>
      </x:c>
      <x:c r="N4" s="23" t="str">
        <x:v>2</x:v>
      </x:c>
      <x:c r="O4" s="23" t="str">
        <x:v>1</x:v>
      </x:c>
      <x:c r="P4" s="21" t="str">
        <x:v>RPT-SCR-01185-01; RPT-SCR-00722-01</x:v>
      </x:c>
      <x:c r="Q4" s="23" t="str">
        <x:v>2</x:v>
      </x:c>
      <x:c r="R4" s="23" t="str">
        <x:v>14</x:v>
      </x:c>
      <x:c r="S4" s="23" t="str">
        <x:v>50</x:v>
      </x:c>
      <x:c r="T4" s="23" t="str">
        <x:v>3</x:v>
      </x:c>
      <x:c r="U4" s="23" t="str">
        <x:v>0</x:v>
      </x:c>
      <x:c r="V4" s="21" t="str"/>
      <x:c r="W4" s="21" t="str">
        <x:v>governed_eligible</x:v>
      </x:c>
      <x:c r="X4" s="21" t="str">
        <x:v>fiber</x:v>
      </x:c>
      <x:c r="Y4" s="21" t="str">
        <x:v>shared_waveform; shared_hardware; shared_resource_allocation</x:v>
      </x:c>
      <x:c r="Z4" s="21" t="str">
        <x:v>dual_polarization_16QAM_DSCM_transmission; FPT_aided_polarization_demultiplexing; BER_vs_ROP</x:v>
      </x:c>
      <x:c r="AA4" s="21" t="str">
        <x:v>forward_phase_vibration_detection; sinusoidal_frequency_recovery; pulse_vibration_recovery; link_environment_monitoring</x:v>
      </x:c>
      <x:c r="AB4" s="21" t="str">
        <x:v>4</x:v>
      </x:c>
      <x:c r="AC4" s="21" t="str">
        <x:v>simulation; dataset_based; laboratory_experiment</x:v>
      </x:c>
      <x:c r="AD4" s="21" t="str">
        <x:v>environment_monitoring</x:v>
      </x:c>
      <x:c r="AE4" s="21" t="str">
        <x:v>direct</x:v>
      </x:c>
    </x:row>
    <x:row r="5" ht="42" customHeight="1">
      <x:c r="A5" s="21" t="str">
        <x:v>STC-EADO-OFDM-RANGING-2024-2025</x:v>
      </x:c>
      <x:c r="B5" s="21" t="str">
        <x:v>SCR-00956</x:v>
      </x:c>
      <x:c r="C5" s="21" t="str">
        <x:v>OISAC_SCR00956</x:v>
      </x:c>
      <x:c r="D5" s="21" t="str">
        <x:v>OISAC_SCR00956</x:v>
      </x:c>
      <x:c r="E5" s="21" t="str">
        <x:v>OISAC_SCR00955</x:v>
      </x:c>
      <x:c r="F5" s="21" t="str">
        <x:v>OISAC_SCR00956; OISAC_SCR00955</x:v>
      </x:c>
      <x:c r="G5" s="21" t="str">
        <x:v>\cite{OISAC_SCR00956,OISAC_SCR00955}</x:v>
      </x:c>
      <x:c r="H5" s="21" t="str">
        <x:v>Wen et al. (2025)</x:v>
      </x:c>
      <x:c r="I5" s="21" t="str">
        <x:v>Optical Wireless Integrated Sensing and Communication Based on EADO-OFDM: A Flexible Resource Allocation Perspective</x:v>
      </x:c>
      <x:c r="J5" s="23" t="str">
        <x:v>2025</x:v>
      </x:c>
      <x:c r="K5" s="21" t="str">
        <x:v>IEEE Transactions on Wireless Communications</x:v>
      </x:c>
      <x:c r="L5" s="21" t="str">
        <x:v>10.1109/twc.2025.3557061</x:v>
      </x:c>
      <x:c r="M5" s="21" t="str">
        <x:v>RPT-SCR-00956-01</x:v>
      </x:c>
      <x:c r="N5" s="23" t="str">
        <x:v>2</x:v>
      </x:c>
      <x:c r="O5" s="23" t="str">
        <x:v>1</x:v>
      </x:c>
      <x:c r="P5" s="21" t="str">
        <x:v>RPT-SCR-00956-01; RPT-SCR-00955-01</x:v>
      </x:c>
      <x:c r="Q5" s="23" t="str">
        <x:v>2</x:v>
      </x:c>
      <x:c r="R5" s="23" t="str">
        <x:v>16</x:v>
      </x:c>
      <x:c r="S5" s="23" t="str">
        <x:v>33</x:v>
      </x:c>
      <x:c r="T5" s="23" t="str">
        <x:v>3</x:v>
      </x:c>
      <x:c r="U5" s="23" t="str">
        <x:v>0</x:v>
      </x:c>
      <x:c r="V5" s="21" t="str"/>
      <x:c r="W5" s="21" t="str">
        <x:v>governed_eligible</x:v>
      </x:c>
      <x:c r="X5" s="21" t="str">
        <x:v>FSO</x:v>
      </x:c>
      <x:c r="Y5" s="21" t="str">
        <x:v>shared_waveform; shared_resource_allocation</x:v>
      </x:c>
      <x:c r="Z5" s="21" t="str">
        <x:v>optical_wireless_data_communication</x:v>
      </x:c>
      <x:c r="AA5" s="21" t="str">
        <x:v>single_target_ranging; target_detection; range_profile_estimation</x:v>
      </x:c>
      <x:c r="AB5" s="21" t="str">
        <x:v>2</x:v>
      </x:c>
      <x:c r="AC5" s="21" t="str">
        <x:v>analytical; simulation</x:v>
      </x:c>
      <x:c r="AD5" s="21" t="str">
        <x:v>6G_access; vehicular</x:v>
      </x:c>
      <x:c r="AE5" s="21" t="str">
        <x:v>direct</x:v>
      </x:c>
    </x:row>
    <x:row r="6" ht="42" customHeight="1">
      <x:c r="A6" s="21" t="str">
        <x:v>STC-ENDOGENOUS-TS-FRFT-DAS-2025</x:v>
      </x:c>
      <x:c r="B6" s="21" t="str">
        <x:v>SCR-00072</x:v>
      </x:c>
      <x:c r="C6" s="21" t="str">
        <x:v>OISAC_SCR00072</x:v>
      </x:c>
      <x:c r="D6" s="21" t="str">
        <x:v>OISAC_SCR00072</x:v>
      </x:c>
      <x:c r="E6" s="21" t="str">
        <x:v>OISAC_SCR00099</x:v>
      </x:c>
      <x:c r="F6" s="21" t="str">
        <x:v>OISAC_SCR00072; OISAC_SCR00099</x:v>
      </x:c>
      <x:c r="G6" s="21" t="str">
        <x:v>\cite{OISAC_SCR00072,OISAC_SCR00099}</x:v>
      </x:c>
      <x:c r="H6" s="21" t="str">
        <x:v>Wang et al. (2025)</x:v>
      </x:c>
      <x:c r="I6" s="21" t="str">
        <x:v>Endogenous integration of communication and interference fading free sensing using telecom pilots via joint polarization-fraction domain multiplexing</x:v>
      </x:c>
      <x:c r="J6" s="23" t="str">
        <x:v>2025</x:v>
      </x:c>
      <x:c r="K6" s="21" t="str">
        <x:v>Optics Express</x:v>
      </x:c>
      <x:c r="L6" s="21" t="str">
        <x:v>10.1364/oe.563557</x:v>
      </x:c>
      <x:c r="M6" s="21" t="str">
        <x:v>RPT-SCR-00072-01</x:v>
      </x:c>
      <x:c r="N6" s="23" t="str">
        <x:v>2</x:v>
      </x:c>
      <x:c r="O6" s="23" t="str">
        <x:v>1</x:v>
      </x:c>
      <x:c r="P6" s="21" t="str">
        <x:v>RPT-SCR-00072-01; RPT-SCR-00099-01</x:v>
      </x:c>
      <x:c r="Q6" s="23" t="str">
        <x:v>2</x:v>
      </x:c>
      <x:c r="R6" s="23" t="str">
        <x:v>10</x:v>
      </x:c>
      <x:c r="S6" s="23" t="str">
        <x:v>22</x:v>
      </x:c>
      <x:c r="T6" s="23" t="str">
        <x:v>3</x:v>
      </x:c>
      <x:c r="U6" s="23" t="str">
        <x:v>12</x:v>
      </x:c>
      <x:c r="V6" s="21" t="str"/>
      <x:c r="W6" s="21" t="str">
        <x:v>governed_eligible</x:v>
      </x:c>
      <x:c r="X6" s="21" t="str">
        <x:v>fiber</x:v>
      </x:c>
      <x:c r="Y6" s="21" t="str">
        <x:v>shared_waveform; shared_hardware; shared_link_or_channel; shared_resource_allocation</x:v>
      </x:c>
      <x:c r="Z6" s="21" t="str">
        <x:v>data_transmission; channel_estimation</x:v>
      </x:c>
      <x:c r="AA6" s="21" t="str">
        <x:v>distributed_acoustic_sensing; vibration_sensing</x:v>
      </x:c>
      <x:c r="AB6" s="21" t="str">
        <x:v>4</x:v>
      </x:c>
      <x:c r="AC6" s="21" t="str">
        <x:v>laboratory_experiment</x:v>
      </x:c>
      <x:c r="AD6" s="21" t="str">
        <x:v>environment_monitoring; optical_access_network</x:v>
      </x:c>
      <x:c r="AE6" s="21" t="str">
        <x:v>direct</x:v>
      </x:c>
    </x:row>
    <x:row r="7" ht="42" customHeight="1">
      <x:c r="A7" s="21" t="str">
        <x:v>STC-FRDM-POLARIZATION-SENSING-2025-2026</x:v>
      </x:c>
      <x:c r="B7" s="21" t="str">
        <x:v>SCR-00220</x:v>
      </x:c>
      <x:c r="C7" s="21" t="str">
        <x:v>OISAC_SCR00220</x:v>
      </x:c>
      <x:c r="D7" s="21" t="str">
        <x:v>OISAC_SCR00220</x:v>
      </x:c>
      <x:c r="E7" s="21" t="str">
        <x:v>OISAC_SCR00592</x:v>
      </x:c>
      <x:c r="F7" s="21" t="str">
        <x:v>OISAC_SCR00220; OISAC_SCR00592</x:v>
      </x:c>
      <x:c r="G7" s="21" t="str">
        <x:v>\cite{OISAC_SCR00220,OISAC_SCR00592}</x:v>
      </x:c>
      <x:c r="H7" s="21" t="str">
        <x:v>Wang et al. (2026)</x:v>
      </x:c>
      <x:c r="I7" s="21" t="str">
        <x:v>Integrated Communication and In-Band Spectrum Polarization-Based Sensing via Fraction-Division Non-Orthogonal Multiple Access</x:v>
      </x:c>
      <x:c r="J7" s="23" t="str">
        <x:v>2026</x:v>
      </x:c>
      <x:c r="K7" s="21" t="str">
        <x:v>Journal of Lightwave Technology</x:v>
      </x:c>
      <x:c r="L7" s="21" t="str">
        <x:v>10.1109/jlt.2025.3625373</x:v>
      </x:c>
      <x:c r="M7" s="21" t="str">
        <x:v>RPT-SCR-00220-01</x:v>
      </x:c>
      <x:c r="N7" s="23" t="str">
        <x:v>2</x:v>
      </x:c>
      <x:c r="O7" s="23" t="str">
        <x:v>1</x:v>
      </x:c>
      <x:c r="P7" s="21" t="str">
        <x:v>RPT-SCR-00220-01; RPT-SCR-00592-01</x:v>
      </x:c>
      <x:c r="Q7" s="23" t="str">
        <x:v>2</x:v>
      </x:c>
      <x:c r="R7" s="23" t="str">
        <x:v>11</x:v>
      </x:c>
      <x:c r="S7" s="23" t="str">
        <x:v>21</x:v>
      </x:c>
      <x:c r="T7" s="23" t="str">
        <x:v>2</x:v>
      </x:c>
      <x:c r="U7" s="23" t="str">
        <x:v>3</x:v>
      </x:c>
      <x:c r="V7" s="21" t="str"/>
      <x:c r="W7" s="21" t="str">
        <x:v>governed_eligible</x:v>
      </x:c>
      <x:c r="X7" s="21" t="str">
        <x:v>fiber</x:v>
      </x:c>
      <x:c r="Y7" s="21" t="str">
        <x:v>shared_waveform; shared_hardware; shared_link_or_channel; shared_resource_allocation</x:v>
      </x:c>
      <x:c r="Z7" s="21" t="str">
        <x:v>data_transmission; polarization_demultiplexing_support</x:v>
      </x:c>
      <x:c r="AA7" s="21" t="str">
        <x:v>vibration_sensing; vibration_localization; polarization_sensing</x:v>
      </x:c>
      <x:c r="AB7" s="21" t="str">
        <x:v>4</x:v>
      </x:c>
      <x:c r="AC7" s="21" t="str">
        <x:v>laboratory_experiment</x:v>
      </x:c>
      <x:c r="AD7" s="21" t="str">
        <x:v>environment_monitoring; optical_access_network</x:v>
      </x:c>
      <x:c r="AE7" s="21" t="str">
        <x:v>direct</x:v>
      </x:c>
    </x:row>
    <x:row r="8" ht="42" customHeight="1">
      <x:c r="A8" s="21" t="str">
        <x:v>STC-ICP-RL-HLLB-3650KM-2024-2025</x:v>
      </x:c>
      <x:c r="B8" s="21" t="str">
        <x:v>SCR-01100</x:v>
      </x:c>
      <x:c r="C8" s="21" t="str">
        <x:v>OISAC_SCR01100</x:v>
      </x:c>
      <x:c r="D8" s="21" t="str">
        <x:v>OISAC_SCR01100</x:v>
      </x:c>
      <x:c r="E8" s="21" t="str"/>
      <x:c r="F8" s="21" t="str">
        <x:v>OISAC_SCR01100</x:v>
      </x:c>
      <x:c r="G8" s="21" t="str">
        <x:v>\cite{OISAC_SCR01100}</x:v>
      </x:c>
      <x:c r="H8" s="21" t="str">
        <x:v>Wu et al. (2025)</x:v>
      </x:c>
      <x:c r="I8" s="21" t="str">
        <x:v>Simultaneous Transmission and Sensing Emulation Using Interconnected Counter-Propagating Recirculating Loops</x:v>
      </x:c>
      <x:c r="J8" s="23" t="str">
        <x:v>2025</x:v>
      </x:c>
      <x:c r="K8" s="21" t="str">
        <x:v>2025 European Conference on Optical Communications (ECOC)</x:v>
      </x:c>
      <x:c r="L8" s="21" t="str">
        <x:v>10.1109/ecoc66593.2025.11262977</x:v>
      </x:c>
      <x:c r="M8" s="21" t="str">
        <x:v>RPT-SCR-01100-01</x:v>
      </x:c>
      <x:c r="N8" s="23" t="str">
        <x:v>1</x:v>
      </x:c>
      <x:c r="O8" s="23" t="str">
        <x:v>0</x:v>
      </x:c>
      <x:c r="P8" s="21" t="str">
        <x:v>RPT-SCR-01100-01</x:v>
      </x:c>
      <x:c r="Q8" s="23" t="str">
        <x:v>1</x:v>
      </x:c>
      <x:c r="R8" s="23" t="str">
        <x:v>12</x:v>
      </x:c>
      <x:c r="S8" s="23" t="str">
        <x:v>24</x:v>
      </x:c>
      <x:c r="T8" s="23" t="str">
        <x:v>3</x:v>
      </x:c>
      <x:c r="U8" s="23" t="str">
        <x:v>0</x:v>
      </x:c>
      <x:c r="V8" s="21" t="str"/>
      <x:c r="W8" s="21" t="str">
        <x:v>governed_eligible</x:v>
      </x:c>
      <x:c r="X8" s="21" t="str">
        <x:v>fiber</x:v>
      </x:c>
      <x:c r="Y8" s="21" t="str">
        <x:v>shared_link_or_channel</x:v>
      </x:c>
      <x:c r="Z8" s="21" t="str">
        <x:v>bidirectional_32_GBaud_DP_QPSK_long_haul_transmission; BER_and_SNR_monitoring</x:v>
      </x:c>
      <x:c r="AA8" s="21" t="str">
        <x:v>Rayleigh_backscatter_OTDR; fiber_loss_profile_monitoring; fault_localization</x:v>
      </x:c>
      <x:c r="AB8" s="21" t="str">
        <x:v>4</x:v>
      </x:c>
      <x:c r="AC8" s="21" t="str">
        <x:v>simulation; laboratory_experiment</x:v>
      </x:c>
      <x:c r="AD8" s="21" t="str">
        <x:v>indoor_positioning; security</x:v>
      </x:c>
      <x:c r="AE8" s="21" t="str">
        <x:v>inferred</x:v>
      </x:c>
    </x:row>
    <x:row r="9" ht="42" customHeight="1">
      <x:c r="A9" s="21" t="str">
        <x:v>STC-III-NITRIDE-MOTION-VLC-2023</x:v>
      </x:c>
      <x:c r="B9" s="21" t="str">
        <x:v>SCR-00763</x:v>
      </x:c>
      <x:c r="C9" s="21" t="str">
        <x:v>OISAC_SCR00763</x:v>
      </x:c>
      <x:c r="D9" s="21" t="str">
        <x:v>OISAC_SCR00763</x:v>
      </x:c>
      <x:c r="E9" s="21" t="str">
        <x:v>OISAC_SCR00619</x:v>
      </x:c>
      <x:c r="F9" s="21" t="str">
        <x:v>OISAC_SCR00763; OISAC_SCR00619</x:v>
      </x:c>
      <x:c r="G9" s="21" t="str">
        <x:v>\cite{OISAC_SCR00763,OISAC_SCR00619}</x:v>
      </x:c>
      <x:c r="H9" s="21" t="str">
        <x:v>Li et al. (2023)</x:v>
      </x:c>
      <x:c r="I9" s="21" t="str">
        <x:v>Integrated Sensing and Communication Chip Based on III-Nitride for Motion Detection</x:v>
      </x:c>
      <x:c r="J9" s="23" t="str">
        <x:v>2023</x:v>
      </x:c>
      <x:c r="K9" s="21" t="str">
        <x:v>ACS Omega</x:v>
      </x:c>
      <x:c r="L9" s="21" t="str">
        <x:v>10.1021/acsomega.3c00521</x:v>
      </x:c>
      <x:c r="M9" s="21" t="str">
        <x:v>RPT-SCR-00763-01</x:v>
      </x:c>
      <x:c r="N9" s="23" t="str">
        <x:v>2</x:v>
      </x:c>
      <x:c r="O9" s="23" t="str">
        <x:v>1</x:v>
      </x:c>
      <x:c r="P9" s="21" t="str">
        <x:v>RPT-SCR-00763-01; RPT-SCR-00619-01</x:v>
      </x:c>
      <x:c r="Q9" s="23" t="str">
        <x:v>2</x:v>
      </x:c>
      <x:c r="R9" s="23" t="str">
        <x:v>19</x:v>
      </x:c>
      <x:c r="S9" s="23" t="str">
        <x:v>29</x:v>
      </x:c>
      <x:c r="T9" s="23" t="str">
        <x:v>2</x:v>
      </x:c>
      <x:c r="U9" s="23" t="str">
        <x:v>0</x:v>
      </x:c>
      <x:c r="V9" s="21" t="str"/>
      <x:c r="W9" s="21" t="str">
        <x:v>governed_eligible</x:v>
      </x:c>
      <x:c r="X9" s="21" t="str">
        <x:v>VLC_LiFi</x:v>
      </x:c>
      <x:c r="Y9" s="21" t="str">
        <x:v>shared_hardware; shared_link_or_channel</x:v>
      </x:c>
      <x:c r="Z9" s="21" t="str">
        <x:v>free_space_visible_light_communication; chip_transmitter; integrated_chip_transceiver</x:v>
      </x:c>
      <x:c r="AA9" s="21" t="str">
        <x:v>noncontact_rotational_motion_detection; rotation_period_tracking; variable_speed_motion_detection</x:v>
      </x:c>
      <x:c r="AB9" s="21" t="str">
        <x:v>5</x:v>
      </x:c>
      <x:c r="AC9" s="21" t="str">
        <x:v>laboratory_experiment; prototype_testbed; mixed</x:v>
      </x:c>
      <x:c r="AD9" s="21" t="str">
        <x:v>6G_access; underwater; smart_infrastructure</x:v>
      </x:c>
      <x:c r="AE9" s="21" t="str">
        <x:v>direct</x:v>
      </x:c>
    </x:row>
    <x:row r="10" ht="42" customHeight="1">
      <x:c r="A10" s="21" t="str">
        <x:v>STC-LED-OISAC-2024-2025</x:v>
      </x:c>
      <x:c r="B10" s="21" t="str">
        <x:v>SCR-00901</x:v>
      </x:c>
      <x:c r="C10" s="21" t="str">
        <x:v>OISAC_SCR00901</x:v>
      </x:c>
      <x:c r="D10" s="21" t="str">
        <x:v>OISAC_SCR00901</x:v>
      </x:c>
      <x:c r="E10" s="21" t="str"/>
      <x:c r="F10" s="21" t="str">
        <x:v>OISAC_SCR00901</x:v>
      </x:c>
      <x:c r="G10" s="21" t="str">
        <x:v>\cite{OISAC_SCR00901}</x:v>
      </x:c>
      <x:c r="H10" s="21" t="str">
        <x:v>Zhang et al. (2025)</x:v>
      </x:c>
      <x:c r="I10" s="21" t="str">
        <x:v>Optical Integrated Sensing and Communication With Light-Emitting Diode</x:v>
      </x:c>
      <x:c r="J10" s="23" t="str">
        <x:v>2025</x:v>
      </x:c>
      <x:c r="K10" s="21" t="str">
        <x:v>IEEE Internet of Things Journal</x:v>
      </x:c>
      <x:c r="L10" s="21" t="str">
        <x:v>10.1109/jiot.2024.3523045</x:v>
      </x:c>
      <x:c r="M10" s="21" t="str">
        <x:v>RPT-SCR-00901-01</x:v>
      </x:c>
      <x:c r="N10" s="23" t="str">
        <x:v>1</x:v>
      </x:c>
      <x:c r="O10" s="23" t="str">
        <x:v>0</x:v>
      </x:c>
      <x:c r="P10" s="21" t="str">
        <x:v>RPT-SCR-00901-01</x:v>
      </x:c>
      <x:c r="Q10" s="23" t="str">
        <x:v>1</x:v>
      </x:c>
      <x:c r="R10" s="23" t="str">
        <x:v>13</x:v>
      </x:c>
      <x:c r="S10" s="23" t="str">
        <x:v>30</x:v>
      </x:c>
      <x:c r="T10" s="23" t="str">
        <x:v>0</x:v>
      </x:c>
      <x:c r="U10" s="23" t="str">
        <x:v>0</x:v>
      </x:c>
      <x:c r="V10" s="21" t="str"/>
      <x:c r="W10" s="21" t="str">
        <x:v>governed_eligible</x:v>
      </x:c>
      <x:c r="X10" s="21" t="str">
        <x:v>VLC_LiFi</x:v>
      </x:c>
      <x:c r="Y10" s="21" t="str">
        <x:v>shared_resource_allocation</x:v>
      </x:c>
      <x:c r="Z10" s="21" t="str">
        <x:v>indoor_downlink_data_transmission; broadcast_control; TDMA_user_service</x:v>
      </x:c>
      <x:c r="AA10" s="21" t="str">
        <x:v>three_dimensional_device_localization; global_device_discovery; device_tracking</x:v>
      </x:c>
      <x:c r="AB10" s="21" t="str">
        <x:v>2</x:v>
      </x:c>
      <x:c r="AC10" s="21" t="str">
        <x:v>analytical; simulation</x:v>
      </x:c>
      <x:c r="AD10" s="21" t="str">
        <x:v>indoor_positioning; industrial</x:v>
      </x:c>
      <x:c r="AE10" s="21" t="str">
        <x:v>inferred</x:v>
      </x:c>
    </x:row>
    <x:row r="11" ht="42" customHeight="1">
      <x:c r="A11" s="21" t="str">
        <x:v>STC-MMW-OFDM-PENG-2023-2024</x:v>
      </x:c>
      <x:c r="B11" s="21" t="str">
        <x:v>SCR-00889</x:v>
      </x:c>
      <x:c r="C11" s="21" t="str">
        <x:v>OISAC_SCR00889</x:v>
      </x:c>
      <x:c r="D11" s="21" t="str">
        <x:v>OISAC_SCR00889</x:v>
      </x:c>
      <x:c r="E11" s="21" t="str">
        <x:v>OISAC_SCR00900</x:v>
      </x:c>
      <x:c r="F11" s="21" t="str">
        <x:v>OISAC_SCR00889; OISAC_SCR00900</x:v>
      </x:c>
      <x:c r="G11" s="21" t="str">
        <x:v>\cite{OISAC_SCR00889,OISAC_SCR00900}</x:v>
      </x:c>
      <x:c r="H11" s="21" t="str">
        <x:v>Peng et al. (2024)</x:v>
      </x:c>
      <x:c r="I11" s="21" t="str">
        <x:v>Photonics-assisted integrated sensing and communication with ranging resolution improvement by multiple signal classification</x:v>
      </x:c>
      <x:c r="J11" s="23" t="str">
        <x:v>2024</x:v>
      </x:c>
      <x:c r="K11" s="21" t="str">
        <x:v>Optics Express</x:v>
      </x:c>
      <x:c r="L11" s="21" t="str">
        <x:v>10.1364/oe.525854</x:v>
      </x:c>
      <x:c r="M11" s="21" t="str">
        <x:v>RPT-SCR-00889-01</x:v>
      </x:c>
      <x:c r="N11" s="23" t="str">
        <x:v>2</x:v>
      </x:c>
      <x:c r="O11" s="23" t="str">
        <x:v>1</x:v>
      </x:c>
      <x:c r="P11" s="21" t="str">
        <x:v>RPT-SCR-00889-01; RPT-SCR-00900-01</x:v>
      </x:c>
      <x:c r="Q11" s="23" t="str">
        <x:v>2</x:v>
      </x:c>
      <x:c r="R11" s="23" t="str">
        <x:v>15</x:v>
      </x:c>
      <x:c r="S11" s="23" t="str">
        <x:v>37</x:v>
      </x:c>
      <x:c r="T11" s="23" t="str">
        <x:v>3</x:v>
      </x:c>
      <x:c r="U11" s="23" t="str">
        <x:v>0</x:v>
      </x:c>
      <x:c r="V11" s="21" t="str"/>
      <x:c r="W11" s="21" t="str">
        <x:v>governed_eligible</x:v>
      </x:c>
      <x:c r="X11" s="21" t="str">
        <x:v>photonic_THz</x:v>
      </x:c>
      <x:c r="Y11" s="21" t="str">
        <x:v>shared_waveform; shared_hardware; shared_resource_allocation</x:v>
      </x:c>
      <x:c r="Z11" s="21" t="str">
        <x:v>16_QAM_OFDM_data_transmission; BER_evaluation; nonlinearity_compensation; phase_noise_compensation</x:v>
      </x:c>
      <x:c r="AA11" s="21" t="str">
        <x:v>radar_ranging; single_target_resolution; dual_target_resolution; velocity_estimation; two_dimensional_range_velocity_imaging</x:v>
      </x:c>
      <x:c r="AB11" s="21" t="str">
        <x:v>4</x:v>
      </x:c>
      <x:c r="AC11" s="21" t="str">
        <x:v>simulation; laboratory_experiment; mixed</x:v>
      </x:c>
      <x:c r="AD11" s="21" t="str">
        <x:v>vehicular</x:v>
      </x:c>
      <x:c r="AE11" s="21" t="str">
        <x:v>direct</x:v>
      </x:c>
    </x:row>
    <x:row r="12" ht="42" customHeight="1">
      <x:c r="A12" s="21" t="str">
        <x:v>STC-MULTICHANNEL-LFM-QAM-THZ-2024-2026</x:v>
      </x:c>
      <x:c r="B12" s="21" t="str">
        <x:v>SCR-00988</x:v>
      </x:c>
      <x:c r="C12" s="21" t="str">
        <x:v>OISAC_SCR00988</x:v>
      </x:c>
      <x:c r="D12" s="21" t="str">
        <x:v>OISAC_SCR00988</x:v>
      </x:c>
      <x:c r="E12" s="21" t="str">
        <x:v>OISAC_SCR00440</x:v>
      </x:c>
      <x:c r="F12" s="21" t="str">
        <x:v>OISAC_SCR00988; OISAC_SCR00440</x:v>
      </x:c>
      <x:c r="G12" s="21" t="str">
        <x:v>\cite{OISAC_SCR00988,OISAC_SCR00440}</x:v>
      </x:c>
      <x:c r="H12" s="21" t="str">
        <x:v>Lyu et al. (2024)</x:v>
      </x:c>
      <x:c r="I12" s="21" t="str">
        <x:v>Multi-Channel Photonic THz-ISAC System Based on Integrated LFM-QAM Waveform</x:v>
      </x:c>
      <x:c r="J12" s="23" t="str">
        <x:v>2024</x:v>
      </x:c>
      <x:c r="K12" s="21" t="str">
        <x:v>Journal of Lightwave Technology</x:v>
      </x:c>
      <x:c r="L12" s="21" t="str">
        <x:v>10.1109/jlt.2024.3392282</x:v>
      </x:c>
      <x:c r="M12" s="21" t="str">
        <x:v>RPT-SCR-00988-01</x:v>
      </x:c>
      <x:c r="N12" s="23" t="str">
        <x:v>2</x:v>
      </x:c>
      <x:c r="O12" s="23" t="str">
        <x:v>1</x:v>
      </x:c>
      <x:c r="P12" s="21" t="str">
        <x:v>RPT-SCR-00988-01; RPT-SCR-00440-01</x:v>
      </x:c>
      <x:c r="Q12" s="23" t="str">
        <x:v>2</x:v>
      </x:c>
      <x:c r="R12" s="23" t="str">
        <x:v>16</x:v>
      </x:c>
      <x:c r="S12" s="23" t="str">
        <x:v>26</x:v>
      </x:c>
      <x:c r="T12" s="23" t="str">
        <x:v>1</x:v>
      </x:c>
      <x:c r="U12" s="23" t="str">
        <x:v>0</x:v>
      </x:c>
      <x:c r="V12" s="21" t="str"/>
      <x:c r="W12" s="21" t="str">
        <x:v>governed_eligible</x:v>
      </x:c>
      <x:c r="X12" s="21" t="str">
        <x:v>photonic_THz</x:v>
      </x:c>
      <x:c r="Y12" s="21" t="str">
        <x:v>shared_hardware; shared_resource_allocation; joint_design_or_optimization</x:v>
      </x:c>
      <x:c r="Z12" s="21" t="str">
        <x:v>three_channel_QAM_data_transmission; LFM_pilot_synchronization; phase_noise_compensated_demodulation</x:v>
      </x:c>
      <x:c r="AA12" s="21" t="str">
        <x:v>two_target_ranging; range_resolution; multi_channel_coherent_fusion; range_profile_reconstruction</x:v>
      </x:c>
      <x:c r="AB12" s="21" t="str">
        <x:v>5</x:v>
      </x:c>
      <x:c r="AC12" s="21" t="str">
        <x:v>analytical; simulation; laboratory_experiment; prototype_testbed</x:v>
      </x:c>
      <x:c r="AD12" s="21" t="str">
        <x:v>6G_access</x:v>
      </x:c>
      <x:c r="AE12" s="21" t="str">
        <x:v>direct</x:v>
      </x:c>
    </x:row>
    <x:row r="13" ht="42" customHeight="1">
      <x:c r="A13" s="21" t="str">
        <x:v>STC-OCDM-THZ-OVER-FIBER-2024-2025</x:v>
      </x:c>
      <x:c r="B13" s="21" t="str">
        <x:v>SCR-00993</x:v>
      </x:c>
      <x:c r="C13" s="21" t="str">
        <x:v>OISAC_SCR00993</x:v>
      </x:c>
      <x:c r="D13" s="21" t="str">
        <x:v>OISAC_SCR00993</x:v>
      </x:c>
      <x:c r="E13" s="21" t="str">
        <x:v>OISAC_SCR01149</x:v>
      </x:c>
      <x:c r="F13" s="21" t="str">
        <x:v>OISAC_SCR00993; OISAC_SCR01149</x:v>
      </x:c>
      <x:c r="G13" s="21" t="str">
        <x:v>\cite{OISAC_SCR00993,OISAC_SCR01149}</x:v>
      </x:c>
      <x:c r="H13" s="21" t="str">
        <x:v>Li et al. (2024)</x:v>
      </x:c>
      <x:c r="I13" s="21" t="str">
        <x:v>THz-Over-Fiber System With Orthogonal Chirp Division Multiplexing for Integrated Sensing and Communication</x:v>
      </x:c>
      <x:c r="J13" s="23" t="str">
        <x:v>2024</x:v>
      </x:c>
      <x:c r="K13" s="21" t="str">
        <x:v>Journal of Lightwave Technology</x:v>
      </x:c>
      <x:c r="L13" s="21" t="str">
        <x:v>10.1109/jlt.2023.3311645</x:v>
      </x:c>
      <x:c r="M13" s="21" t="str">
        <x:v>RPT-SCR-00993-01</x:v>
      </x:c>
      <x:c r="N13" s="23" t="str">
        <x:v>2</x:v>
      </x:c>
      <x:c r="O13" s="23" t="str">
        <x:v>1</x:v>
      </x:c>
      <x:c r="P13" s="21" t="str">
        <x:v>RPT-SCR-00993-01; RPT-SCR-01149-01</x:v>
      </x:c>
      <x:c r="Q13" s="23" t="str">
        <x:v>2</x:v>
      </x:c>
      <x:c r="R13" s="23" t="str">
        <x:v>15</x:v>
      </x:c>
      <x:c r="S13" s="23" t="str">
        <x:v>26</x:v>
      </x:c>
      <x:c r="T13" s="23" t="str">
        <x:v>2</x:v>
      </x:c>
      <x:c r="U13" s="23" t="str">
        <x:v>0</x:v>
      </x:c>
      <x:c r="V13" s="21" t="str"/>
      <x:c r="W13" s="21" t="str">
        <x:v>governed_eligible</x:v>
      </x:c>
      <x:c r="X13" s="21" t="str">
        <x:v>photonic_THz</x:v>
      </x:c>
      <x:c r="Y13" s="21" t="str">
        <x:v>shared_waveform; shared_resource_allocation</x:v>
      </x:c>
      <x:c r="Z13" s="21" t="str">
        <x:v>32_Gbit_s_THz_wireless_data_link</x:v>
      </x:c>
      <x:c r="AA13" s="21" t="str">
        <x:v>single_target_range_Doppler_imaging; range_estimation</x:v>
      </x:c>
      <x:c r="AB13" s="21" t="str">
        <x:v>4</x:v>
      </x:c>
      <x:c r="AC13" s="21" t="str">
        <x:v>analytical; simulation; laboratory_experiment</x:v>
      </x:c>
      <x:c r="AD13" s="21" t="str">
        <x:v>6G_access</x:v>
      </x:c>
      <x:c r="AE13" s="21" t="str">
        <x:v>direct</x:v>
      </x:c>
    </x:row>
    <x:row r="14" ht="42" customHeight="1">
      <x:c r="A14" s="21" t="str">
        <x:v>STC-ODDM-PHOTONIC-MMW-2024-2025</x:v>
      </x:c>
      <x:c r="B14" s="21" t="str">
        <x:v>SCR-00973</x:v>
      </x:c>
      <x:c r="C14" s="21" t="str">
        <x:v>OISAC_SCR00973</x:v>
      </x:c>
      <x:c r="D14" s="21" t="str">
        <x:v>OISAC_SCR00973</x:v>
      </x:c>
      <x:c r="E14" s="21" t="str">
        <x:v>OISAC_SCR01005</x:v>
      </x:c>
      <x:c r="F14" s="21" t="str">
        <x:v>OISAC_SCR00973; OISAC_SCR01005</x:v>
      </x:c>
      <x:c r="G14" s="21" t="str">
        <x:v>\cite{OISAC_SCR00973,OISAC_SCR01005}</x:v>
      </x:c>
      <x:c r="H14" s="21" t="str">
        <x:v>Wang et al. (2026)</x:v>
      </x:c>
      <x:c r="I14" s="21" t="str">
        <x:v>Photonics-Assisted mmWave Integrated Sensing and Communication System Enabled by ODDM Waveform</x:v>
      </x:c>
      <x:c r="J14" s="23" t="str">
        <x:v>2026</x:v>
      </x:c>
      <x:c r="K14" s="21" t="str">
        <x:v>IEEE Transactions on Microwave Theory and Techniques</x:v>
      </x:c>
      <x:c r="L14" s="21" t="str">
        <x:v>10.1109/tmtt.2025.3648450</x:v>
      </x:c>
      <x:c r="M14" s="21" t="str">
        <x:v>RPT-SCR-00973-01</x:v>
      </x:c>
      <x:c r="N14" s="23" t="str">
        <x:v>2</x:v>
      </x:c>
      <x:c r="O14" s="23" t="str">
        <x:v>1</x:v>
      </x:c>
      <x:c r="P14" s="21" t="str">
        <x:v>RPT-SCR-00973-01; RPT-SCR-01005-01</x:v>
      </x:c>
      <x:c r="Q14" s="23" t="str">
        <x:v>2</x:v>
      </x:c>
      <x:c r="R14" s="23" t="str">
        <x:v>17</x:v>
      </x:c>
      <x:c r="S14" s="23" t="str">
        <x:v>36</x:v>
      </x:c>
      <x:c r="T14" s="23" t="str">
        <x:v>0</x:v>
      </x:c>
      <x:c r="U14" s="23" t="str">
        <x:v>0</x:v>
      </x:c>
      <x:c r="V14" s="21" t="str"/>
      <x:c r="W14" s="21" t="str">
        <x:v>governed_eligible</x:v>
      </x:c>
      <x:c r="X14" s="21" t="str">
        <x:v>photonic_THz</x:v>
      </x:c>
      <x:c r="Y14" s="21" t="str">
        <x:v>shared_waveform; shared_hardware; shared_resource_allocation</x:v>
      </x:c>
      <x:c r="Z14" s="21" t="str">
        <x:v>high_rate_mmWave_data_transmission; 32QAM_ODDM_demodulation; pilot_aided_channel_estimation</x:v>
      </x:c>
      <x:c r="AA14" s="21" t="str">
        <x:v>single_target_ranging; multitarget_detection; range_resolution; range_velocity_mapping</x:v>
      </x:c>
      <x:c r="AB14" s="21" t="str">
        <x:v>5</x:v>
      </x:c>
      <x:c r="AC14" s="21" t="str">
        <x:v>analytical; simulation; laboratory_experiment; prototype_testbed</x:v>
      </x:c>
      <x:c r="AD14" s="21" t="str">
        <x:v>6G_access</x:v>
      </x:c>
      <x:c r="AE14" s="21" t="str">
        <x:v>direct</x:v>
      </x:c>
    </x:row>
    <x:row r="15" ht="42" customHeight="1">
      <x:c r="A15" s="21" t="str">
        <x:v>STC-OPA-OWISAC-BEAMFORMING-2024-2025</x:v>
      </x:c>
      <x:c r="B15" s="21" t="str">
        <x:v>SCR-00940</x:v>
      </x:c>
      <x:c r="C15" s="21" t="str">
        <x:v>OISAC_SCR00940</x:v>
      </x:c>
      <x:c r="D15" s="21" t="str">
        <x:v>OISAC_SCR00940</x:v>
      </x:c>
      <x:c r="E15" s="21" t="str">
        <x:v>OISAC_SCR00945</x:v>
      </x:c>
      <x:c r="F15" s="21" t="str">
        <x:v>OISAC_SCR00940; OISAC_SCR00945</x:v>
      </x:c>
      <x:c r="G15" s="21" t="str">
        <x:v>\cite{OISAC_SCR00940,OISAC_SCR00945}</x:v>
      </x:c>
      <x:c r="H15" s="21" t="str">
        <x:v>Wen et al. (2025)</x:v>
      </x:c>
      <x:c r="I15" s="21" t="str">
        <x:v>Optical Wireless Integrated Sensing and Communication Based on Optical Phased Array: Performance Metric and Optimal Beamforming</x:v>
      </x:c>
      <x:c r="J15" s="23" t="str">
        <x:v>2025</x:v>
      </x:c>
      <x:c r="K15" s="21" t="str">
        <x:v>IEEE Transactions on Wireless Communications</x:v>
      </x:c>
      <x:c r="L15" s="21" t="str">
        <x:v>10.1109/twc.2025.3559254</x:v>
      </x:c>
      <x:c r="M15" s="21" t="str">
        <x:v>RPT-SCR-00940-01</x:v>
      </x:c>
      <x:c r="N15" s="23" t="str">
        <x:v>2</x:v>
      </x:c>
      <x:c r="O15" s="23" t="str">
        <x:v>1</x:v>
      </x:c>
      <x:c r="P15" s="21" t="str">
        <x:v>RPT-SCR-00940-01; RPT-SCR-00945-01</x:v>
      </x:c>
      <x:c r="Q15" s="23" t="str">
        <x:v>2</x:v>
      </x:c>
      <x:c r="R15" s="23" t="str">
        <x:v>17</x:v>
      </x:c>
      <x:c r="S15" s="23" t="str">
        <x:v>30</x:v>
      </x:c>
      <x:c r="T15" s="23" t="str">
        <x:v>1</x:v>
      </x:c>
      <x:c r="U15" s="23" t="str">
        <x:v>0</x:v>
      </x:c>
      <x:c r="V15" s="21" t="str"/>
      <x:c r="W15" s="21" t="str">
        <x:v>governed_eligible</x:v>
      </x:c>
      <x:c r="X15" s="21" t="str">
        <x:v>FSO</x:v>
      </x:c>
      <x:c r="Y15" s="21" t="str">
        <x:v>joint_design_or_optimization</x:v>
      </x:c>
      <x:c r="Z15" s="21" t="str">
        <x:v>concurrent_multi_user_optical_wireless_communication; direct_detection; PSS_PPM_data_transmission</x:v>
      </x:c>
      <x:c r="AA15" s="21" t="str">
        <x:v>scanning_LiDAR; range_angle_profile_estimation; environment_imaging; range_mapping</x:v>
      </x:c>
      <x:c r="AB15" s="21" t="str">
        <x:v>3</x:v>
      </x:c>
      <x:c r="AC15" s="21" t="str">
        <x:v>analytical; numerical_analysis; simulation</x:v>
      </x:c>
      <x:c r="AD15" s="21" t="str">
        <x:v>6G_access; vehicular; environment_monitoring</x:v>
      </x:c>
      <x:c r="AE15" s="21" t="str">
        <x:v>direct</x:v>
      </x:c>
    </x:row>
    <x:row r="16" ht="42" customHeight="1">
      <x:c r="A16" s="21" t="str">
        <x:v>STC-REALTIME-BIDIR-DMT-THZ-2024-2026</x:v>
      </x:c>
      <x:c r="B16" s="21" t="str">
        <x:v>SCR-01054</x:v>
      </x:c>
      <x:c r="C16" s="21" t="str">
        <x:v>OISAC_SCR01054</x:v>
      </x:c>
      <x:c r="D16" s="21" t="str">
        <x:v>OISAC_SCR01054</x:v>
      </x:c>
      <x:c r="E16" s="21" t="str">
        <x:v>OISAC_SCR01065; OISAC_SCR01184</x:v>
      </x:c>
      <x:c r="F16" s="21" t="str">
        <x:v>OISAC_SCR01054; OISAC_SCR01065; OISAC_SCR01184</x:v>
      </x:c>
      <x:c r="G16" s="21" t="str">
        <x:v>\cite{OISAC_SCR01054,OISAC_SCR01065,OISAC_SCR01184}</x:v>
      </x:c>
      <x:c r="H16" s="21" t="str">
        <x:v>Wang et al. (2026)</x:v>
      </x:c>
      <x:c r="I16" s="21" t="str">
        <x:v>Real-Time Integrated Sensing with 5.08 mm Range Resolution and 15.5 Gbps Bidirectional Wireless Communication Over a 270-Meter Outdoor Photonic-Assisted Terahertz Link</x:v>
      </x:c>
      <x:c r="J16" s="23" t="str">
        <x:v>2026</x:v>
      </x:c>
      <x:c r="K16" s="21" t="str">
        <x:v>IEEE Photonics Journal</x:v>
      </x:c>
      <x:c r="L16" s="21" t="str">
        <x:v>10.1109/jphot.2026.3695349</x:v>
      </x:c>
      <x:c r="M16" s="21" t="str">
        <x:v>RPT-SCR-01054-01</x:v>
      </x:c>
      <x:c r="N16" s="23" t="str">
        <x:v>3</x:v>
      </x:c>
      <x:c r="O16" s="23" t="str">
        <x:v>2</x:v>
      </x:c>
      <x:c r="P16" s="21" t="str">
        <x:v>RPT-SCR-01054-01; RPT-SCR-01065-01; RPT-SCR-01184-01</x:v>
      </x:c>
      <x:c r="Q16" s="23" t="str">
        <x:v>3</x:v>
      </x:c>
      <x:c r="R16" s="23" t="str">
        <x:v>20</x:v>
      </x:c>
      <x:c r="S16" s="23" t="str">
        <x:v>22</x:v>
      </x:c>
      <x:c r="T16" s="23" t="str">
        <x:v>2</x:v>
      </x:c>
      <x:c r="U16" s="23" t="str">
        <x:v>0</x:v>
      </x:c>
      <x:c r="V16" s="21" t="str"/>
      <x:c r="W16" s="21" t="str">
        <x:v>governed_eligible</x:v>
      </x:c>
      <x:c r="X16" s="21" t="str">
        <x:v>photonic_THz</x:v>
      </x:c>
      <x:c r="Y16" s="21" t="str">
        <x:v>shared_waveform; shared_hardware</x:v>
      </x:c>
      <x:c r="Z16" s="21" t="str">
        <x:v>bidirectional_DMT_wireless_transmission; 16QAM_64QAM_payload_delivery; real_time_data_recovery</x:v>
      </x:c>
      <x:c r="AA16" s="21" t="str">
        <x:v>one_dimensional_two_way_time_of_flight_ranging; arrival_time_estimation; range_tracking</x:v>
      </x:c>
      <x:c r="AB16" s="21" t="str">
        <x:v>6</x:v>
      </x:c>
      <x:c r="AC16" s="21" t="str">
        <x:v>analytical; simulation; prototype_testbed; field_experiment</x:v>
      </x:c>
      <x:c r="AD16" s="21" t="str">
        <x:v>6G_access</x:v>
      </x:c>
      <x:c r="AE16" s="21" t="str">
        <x:v>direct</x:v>
      </x:c>
    </x:row>
    <x:row r="17" ht="42" customHeight="1">
      <x:c r="A17" s="21" t="str">
        <x:v>STC-SELF-HOMODYNE-MCF-OFDR-2024-2025</x:v>
      </x:c>
      <x:c r="B17" s="21" t="str">
        <x:v>SCR-01015</x:v>
      </x:c>
      <x:c r="C17" s="21" t="str">
        <x:v>OISAC_SCR01015</x:v>
      </x:c>
      <x:c r="D17" s="21" t="str">
        <x:v>OISAC_SCR01015</x:v>
      </x:c>
      <x:c r="E17" s="21" t="str">
        <x:v>OISAC_SCR00984</x:v>
      </x:c>
      <x:c r="F17" s="21" t="str">
        <x:v>OISAC_SCR01015; OISAC_SCR00984</x:v>
      </x:c>
      <x:c r="G17" s="21" t="str">
        <x:v>\cite{OISAC_SCR01015,OISAC_SCR00984}</x:v>
      </x:c>
      <x:c r="H17" s="21" t="str">
        <x:v>Yin et al. (2026)</x:v>
      </x:c>
      <x:c r="I17" s="21" t="str">
        <x:v>Integrated Sensing and Communication in Self-Homodyne MCF Transmission Systems With Linear Frequency Modulation</x:v>
      </x:c>
      <x:c r="J17" s="23" t="str">
        <x:v>2026</x:v>
      </x:c>
      <x:c r="K17" s="21" t="str">
        <x:v>Journal of Lightwave Technology</x:v>
      </x:c>
      <x:c r="L17" s="21" t="str">
        <x:v>10.1109/jlt.2026.3669555</x:v>
      </x:c>
      <x:c r="M17" s="21" t="str">
        <x:v>RPT-SCR-01015-01</x:v>
      </x:c>
      <x:c r="N17" s="23" t="str">
        <x:v>2</x:v>
      </x:c>
      <x:c r="O17" s="23" t="str">
        <x:v>1</x:v>
      </x:c>
      <x:c r="P17" s="21" t="str">
        <x:v>RPT-SCR-01015-01; RPT-SCR-00984-01</x:v>
      </x:c>
      <x:c r="Q17" s="23" t="str">
        <x:v>2</x:v>
      </x:c>
      <x:c r="R17" s="23" t="str">
        <x:v>17</x:v>
      </x:c>
      <x:c r="S17" s="23" t="str">
        <x:v>23</x:v>
      </x:c>
      <x:c r="T17" s="23" t="str">
        <x:v>4</x:v>
      </x:c>
      <x:c r="U17" s="23" t="str">
        <x:v>0</x:v>
      </x:c>
      <x:c r="V17" s="21" t="str"/>
      <x:c r="W17" s="21" t="str">
        <x:v>governed_eligible</x:v>
      </x:c>
      <x:c r="X17" s="21" t="str">
        <x:v>fiber</x:v>
      </x:c>
      <x:c r="Y17" s="21" t="str">
        <x:v>shared_optical_carrier</x:v>
      </x:c>
      <x:c r="Z17" s="21" t="str">
        <x:v>25_GBaud_DP_16QAM_200_Gbit_s_self_homodyne_link</x:v>
      </x:c>
      <x:c r="AA17" s="21" t="str">
        <x:v>distributed_reflection_localization; transmission_loss_measurement; dynamic_vibration_strain_sensing</x:v>
      </x:c>
      <x:c r="AB17" s="21" t="str">
        <x:v>4</x:v>
      </x:c>
      <x:c r="AC17" s="21" t="str">
        <x:v>analytical; laboratory_experiment</x:v>
      </x:c>
      <x:c r="AD17" s="21" t="str">
        <x:v>environment_monitoring; datacenter; healthcare</x:v>
      </x:c>
      <x:c r="AE17" s="21" t="str">
        <x:v>inferred</x:v>
      </x:c>
    </x:row>
    <x:row r="18" ht="42" customHeight="1">
      <x:c r="A18" s="21" t="str">
        <x:v>STC-SEVENCORE-COMB-SH-DAS-2024-2025</x:v>
      </x:c>
      <x:c r="B18" s="21" t="str">
        <x:v>SCR-00346</x:v>
      </x:c>
      <x:c r="C18" s="21" t="str">
        <x:v>OISAC_SCR00346</x:v>
      </x:c>
      <x:c r="D18" s="21" t="str">
        <x:v>OISAC_SCR00346</x:v>
      </x:c>
      <x:c r="E18" s="21" t="str">
        <x:v>OISAC_SCR01031</x:v>
      </x:c>
      <x:c r="F18" s="21" t="str">
        <x:v>OISAC_SCR00346; OISAC_SCR01031</x:v>
      </x:c>
      <x:c r="G18" s="21" t="str">
        <x:v>\cite{OISAC_SCR00346,OISAC_SCR01031}</x:v>
      </x:c>
      <x:c r="H18" s="21" t="str">
        <x:v>Liu et al. (2026)</x:v>
      </x:c>
      <x:c r="I18" s="21" t="str">
        <x:v>Integrating High-Capacity Self-Homodyne Transmission and High-Sensitivity Dual-Pulse ϕ-OTDR with an EO Comb over a 7-Core Fiber</x:v>
      </x:c>
      <x:c r="J18" s="23" t="str">
        <x:v>2026</x:v>
      </x:c>
      <x:c r="K18" s="21" t="str">
        <x:v>Photonics</x:v>
      </x:c>
      <x:c r="L18" s="21" t="str">
        <x:v>10.3390/photonics13030261</x:v>
      </x:c>
      <x:c r="M18" s="21" t="str">
        <x:v>RPT-SCR-00346-01</x:v>
      </x:c>
      <x:c r="N18" s="23" t="str">
        <x:v>2</x:v>
      </x:c>
      <x:c r="O18" s="23" t="str">
        <x:v>1</x:v>
      </x:c>
      <x:c r="P18" s="21" t="str">
        <x:v>RPT-SCR-00346-01; RPT-SCR-01031-01</x:v>
      </x:c>
      <x:c r="Q18" s="23" t="str">
        <x:v>2</x:v>
      </x:c>
      <x:c r="R18" s="23" t="str">
        <x:v>16</x:v>
      </x:c>
      <x:c r="S18" s="23" t="str">
        <x:v>11</x:v>
      </x:c>
      <x:c r="T18" s="23" t="str">
        <x:v>2</x:v>
      </x:c>
      <x:c r="U18" s="23" t="str">
        <x:v>0</x:v>
      </x:c>
      <x:c r="V18" s="21" t="str"/>
      <x:c r="W18" s="21" t="str">
        <x:v>governed_eligible</x:v>
      </x:c>
      <x:c r="X18" s="21" t="str">
        <x:v>fiber</x:v>
      </x:c>
      <x:c r="Y18" s="21" t="str">
        <x:v>shared_hardware; shared_optical_carrier; shared_link_or_channel; shared_resource_allocation; joint_design_or_optimization</x:v>
      </x:c>
      <x:c r="Z18" s="21" t="str">
        <x:v>data_transmission; coherent_detection</x:v>
      </x:c>
      <x:c r="AA18" s="21" t="str">
        <x:v>distributed_acoustic_sensing; vibration_sensing; localization; monitoring</x:v>
      </x:c>
      <x:c r="AB18" s="21" t="str">
        <x:v>5</x:v>
      </x:c>
      <x:c r="AC18" s="21" t="str">
        <x:v>analytical; laboratory_experiment; prototype_testbed</x:v>
      </x:c>
      <x:c r="AD18" s="21" t="str">
        <x:v>6G_access; environment_monitoring; optical_access_network; smart_infrastructure</x:v>
      </x:c>
      <x:c r="AE18" s="21" t="str">
        <x:v>direct</x:v>
      </x:c>
    </x:row>
    <x:row r="19" ht="42" customHeight="1">
      <x:c r="A19" s="21" t="str">
        <x:v>STC-SF-LFM-OFDM-THZ-2025-2026</x:v>
      </x:c>
      <x:c r="B19" s="21" t="str">
        <x:v>SCR-00978</x:v>
      </x:c>
      <x:c r="C19" s="21" t="str">
        <x:v>OISAC_SCR00978</x:v>
      </x:c>
      <x:c r="D19" s="21" t="str">
        <x:v>OISAC_SCR00978</x:v>
      </x:c>
      <x:c r="E19" s="21" t="str">
        <x:v>OISAC_SCR01019</x:v>
      </x:c>
      <x:c r="F19" s="21" t="str">
        <x:v>OISAC_SCR00978; OISAC_SCR01019</x:v>
      </x:c>
      <x:c r="G19" s="21" t="str">
        <x:v>\cite{OISAC_SCR00978,OISAC_SCR01019}</x:v>
      </x:c>
      <x:c r="H19" s="21" t="str">
        <x:v>Zhang et al. (2026)</x:v>
      </x:c>
      <x:c r="I19" s="21" t="str">
        <x:v>Photonics-Aided THz Integrated Sensing and Communication System Based on a Time-Frequency Efficient SF-LFM-OFDM Waveform</x:v>
      </x:c>
      <x:c r="J19" s="23" t="str">
        <x:v>2026</x:v>
      </x:c>
      <x:c r="K19" s="21" t="str">
        <x:v>IEEE Transactions on Microwave Theory and Techniques</x:v>
      </x:c>
      <x:c r="L19" s="21" t="str">
        <x:v>10.1109/tmtt.2026.3696308</x:v>
      </x:c>
      <x:c r="M19" s="21" t="str">
        <x:v>RPT-SCR-00978-01</x:v>
      </x:c>
      <x:c r="N19" s="23" t="str">
        <x:v>2</x:v>
      </x:c>
      <x:c r="O19" s="23" t="str">
        <x:v>1</x:v>
      </x:c>
      <x:c r="P19" s="21" t="str">
        <x:v>RPT-SCR-00978-01; RPT-SCR-01019-01</x:v>
      </x:c>
      <x:c r="Q19" s="23" t="str">
        <x:v>2</x:v>
      </x:c>
      <x:c r="R19" s="23" t="str">
        <x:v>17</x:v>
      </x:c>
      <x:c r="S19" s="23" t="str">
        <x:v>36</x:v>
      </x:c>
      <x:c r="T19" s="23" t="str">
        <x:v>3</x:v>
      </x:c>
      <x:c r="U19" s="23" t="str">
        <x:v>0</x:v>
      </x:c>
      <x:c r="V19" s="21" t="str"/>
      <x:c r="W19" s="21" t="str">
        <x:v>governed_eligible</x:v>
      </x:c>
      <x:c r="X19" s="21" t="str">
        <x:v>photonic_THz</x:v>
      </x:c>
      <x:c r="Y19" s="21" t="str">
        <x:v>shared_waveform; shared_optical_carrier; shared_resource_allocation</x:v>
      </x:c>
      <x:c r="Z19" s="21" t="str">
        <x:v>high_capacity_J_band_data_transmission</x:v>
      </x:c>
      <x:c r="AA19" s="21" t="str">
        <x:v>multi_target_ranging; range_velocity_imaging; ISAR_imaging</x:v>
      </x:c>
      <x:c r="AB19" s="21" t="str">
        <x:v>4</x:v>
      </x:c>
      <x:c r="AC19" s="21" t="str">
        <x:v>analytical; simulation; laboratory_experiment</x:v>
      </x:c>
      <x:c r="AD19" s="21" t="str">
        <x:v>6G_access</x:v>
      </x:c>
      <x:c r="AE19" s="21" t="str">
        <x:v>direct</x:v>
      </x:c>
    </x:row>
    <x:row r="20" ht="42" customHeight="1">
      <x:c r="A20" s="21" t="str">
        <x:v>STC-SINGLETON-SCR-00001</x:v>
      </x:c>
      <x:c r="B20" s="21" t="str">
        <x:v>SCR-00001</x:v>
      </x:c>
      <x:c r="C20" s="21" t="str">
        <x:v>OISAC_SCR00001</x:v>
      </x:c>
      <x:c r="D20" s="21" t="str">
        <x:v>OISAC_SCR00001</x:v>
      </x:c>
      <x:c r="E20" s="21" t="str"/>
      <x:c r="F20" s="21" t="str">
        <x:v>OISAC_SCR00001</x:v>
      </x:c>
      <x:c r="G20" s="21" t="str">
        <x:v>\cite{OISAC_SCR00001}</x:v>
      </x:c>
      <x:c r="H20" s="21" t="str">
        <x:v>Xia et al. (2025)</x:v>
      </x:c>
      <x:c r="I20" s="21" t="str">
        <x:v>High-Speed Flexible Near-Infrared Organic Photodetectors for Self-Powered Optical Integrated Sensing and Communications</x:v>
      </x:c>
      <x:c r="J20" s="23" t="str">
        <x:v>2025</x:v>
      </x:c>
      <x:c r="K20" s="21" t="str">
        <x:v>Advanced Functional Materials</x:v>
      </x:c>
      <x:c r="L20" s="21" t="str">
        <x:v>10.1002/adfm.202412813</x:v>
      </x:c>
      <x:c r="M20" s="21" t="str">
        <x:v>RPT-SCR-00001-01</x:v>
      </x:c>
      <x:c r="N20" s="23" t="str">
        <x:v>1</x:v>
      </x:c>
      <x:c r="O20" s="23" t="str">
        <x:v>0</x:v>
      </x:c>
      <x:c r="P20" s="21" t="str">
        <x:v>RPT-SCR-00001-01</x:v>
      </x:c>
      <x:c r="Q20" s="23" t="str">
        <x:v>1</x:v>
      </x:c>
      <x:c r="R20" s="23" t="str">
        <x:v>15</x:v>
      </x:c>
      <x:c r="S20" s="23" t="str">
        <x:v>8</x:v>
      </x:c>
      <x:c r="T20" s="23" t="str">
        <x:v>1</x:v>
      </x:c>
      <x:c r="U20" s="23" t="str">
        <x:v>0</x:v>
      </x:c>
      <x:c r="V20" s="21" t="str"/>
      <x:c r="W20" s="21" t="str">
        <x:v>governed_eligible</x:v>
      </x:c>
      <x:c r="X20" s="21" t="str">
        <x:v>VLC_LiFi</x:v>
      </x:c>
      <x:c r="Y20" s="21" t="str">
        <x:v>shared_hardware; shared_application_scenario</x:v>
      </x:c>
      <x:c r="Z20" s="21" t="str">
        <x:v>data_transmission</x:v>
      </x:c>
      <x:c r="AA20" s="21" t="str">
        <x:v>health_vital_sign_sensing</x:v>
      </x:c>
      <x:c r="AB20" s="21" t="str">
        <x:v>5</x:v>
      </x:c>
      <x:c r="AC20" s="21" t="str">
        <x:v>laboratory_experiment; prototype_testbed</x:v>
      </x:c>
      <x:c r="AD20" s="21" t="str">
        <x:v>healthcare</x:v>
      </x:c>
      <x:c r="AE20" s="21" t="str">
        <x:v>inferred</x:v>
      </x:c>
    </x:row>
    <x:row r="21" ht="42" customHeight="1">
      <x:c r="A21" s="21" t="str">
        <x:v>STC-SINGLETON-SCR-00002</x:v>
      </x:c>
      <x:c r="B21" s="21" t="str">
        <x:v>SCR-00002</x:v>
      </x:c>
      <x:c r="C21" s="21" t="str">
        <x:v>OISAC_SCR00002</x:v>
      </x:c>
      <x:c r="D21" s="21" t="str">
        <x:v>OISAC_SCR00002</x:v>
      </x:c>
      <x:c r="E21" s="21" t="str"/>
      <x:c r="F21" s="21" t="str">
        <x:v>OISAC_SCR00002</x:v>
      </x:c>
      <x:c r="G21" s="21" t="str">
        <x:v>\cite{OISAC_SCR00002}</x:v>
      </x:c>
      <x:c r="H21" s="21" t="str">
        <x:v>Ou et al. (2024)</x:v>
      </x:c>
      <x:c r="I21" s="21" t="str">
        <x:v>Integrated Optical Sensing and Communication (IOSAC) System Based on Hybrid-Waveguide Structures</x:v>
      </x:c>
      <x:c r="J21" s="23" t="str">
        <x:v>2024</x:v>
      </x:c>
      <x:c r="K21" s="21" t="str">
        <x:v>Advanced Materials Technologies</x:v>
      </x:c>
      <x:c r="L21" s="21" t="str">
        <x:v>10.1002/admt.202300998</x:v>
      </x:c>
      <x:c r="M21" s="21" t="str">
        <x:v>RPT-SCR-00002-01</x:v>
      </x:c>
      <x:c r="N21" s="23" t="str">
        <x:v>1</x:v>
      </x:c>
      <x:c r="O21" s="23" t="str">
        <x:v>0</x:v>
      </x:c>
      <x:c r="P21" s="21" t="str">
        <x:v>RPT-SCR-00002-01</x:v>
      </x:c>
      <x:c r="Q21" s="23" t="str">
        <x:v>1</x:v>
      </x:c>
      <x:c r="R21" s="23" t="str">
        <x:v>13</x:v>
      </x:c>
      <x:c r="S21" s="23" t="str">
        <x:v>6</x:v>
      </x:c>
      <x:c r="T21" s="23" t="str">
        <x:v>1</x:v>
      </x:c>
      <x:c r="U21" s="23" t="str">
        <x:v>0</x:v>
      </x:c>
      <x:c r="V21" s="21" t="str"/>
      <x:c r="W21" s="21" t="str">
        <x:v>governed_eligible</x:v>
      </x:c>
      <x:c r="X21" s="21" t="str">
        <x:v>fiber</x:v>
      </x:c>
      <x:c r="Y21" s="21" t="str">
        <x:v>shared_hardware; shared_optical_carrier; shared_link_or_channel; joint_design_or_optimization</x:v>
      </x:c>
      <x:c r="Z21" s="21" t="str">
        <x:v>data_transmission</x:v>
      </x:c>
      <x:c r="AA21" s="21" t="str">
        <x:v>environmental_perception</x:v>
      </x:c>
      <x:c r="AB21" s="21" t="str">
        <x:v>5</x:v>
      </x:c>
      <x:c r="AC21" s="21" t="str">
        <x:v>numerical_analysis; laboratory_experiment; prototype_testbed</x:v>
      </x:c>
      <x:c r="AD21" s="21" t="str">
        <x:v>industrial; environment_monitoring</x:v>
      </x:c>
      <x:c r="AE21" s="21" t="str">
        <x:v>inferred</x:v>
      </x:c>
    </x:row>
    <x:row r="22" ht="42" customHeight="1">
      <x:c r="A22" s="21" t="str">
        <x:v>STC-SINGLETON-SCR-00007</x:v>
      </x:c>
      <x:c r="B22" s="21" t="str">
        <x:v>SCR-00007</x:v>
      </x:c>
      <x:c r="C22" s="21" t="str">
        <x:v>OISAC_SCR00007</x:v>
      </x:c>
      <x:c r="D22" s="21" t="str">
        <x:v>OISAC_SCR00007</x:v>
      </x:c>
      <x:c r="E22" s="21" t="str"/>
      <x:c r="F22" s="21" t="str">
        <x:v>OISAC_SCR00007</x:v>
      </x:c>
      <x:c r="G22" s="21" t="str">
        <x:v>\cite{OISAC_SCR00007}</x:v>
      </x:c>
      <x:c r="H22" s="21" t="str">
        <x:v>Ahmed et al. (2026)</x:v>
      </x:c>
      <x:c r="I22" s="21" t="str">
        <x:v>OFDM-based optical integrated sensing and communication framework using embedded pilot subcarriers</x:v>
      </x:c>
      <x:c r="J22" s="23" t="str">
        <x:v>2026</x:v>
      </x:c>
      <x:c r="K22" s="21" t="str">
        <x:v>Optics Continuum</x:v>
      </x:c>
      <x:c r="L22" s="21" t="str">
        <x:v>10.1364/optcon.595843</x:v>
      </x:c>
      <x:c r="M22" s="21" t="str">
        <x:v>RPT-SCR-00007-01</x:v>
      </x:c>
      <x:c r="N22" s="23" t="str">
        <x:v>1</x:v>
      </x:c>
      <x:c r="O22" s="23" t="str">
        <x:v>0</x:v>
      </x:c>
      <x:c r="P22" s="21" t="str">
        <x:v>RPT-SCR-00007-01</x:v>
      </x:c>
      <x:c r="Q22" s="23" t="str">
        <x:v>1</x:v>
      </x:c>
      <x:c r="R22" s="23" t="str">
        <x:v>66</x:v>
      </x:c>
      <x:c r="S22" s="23" t="str">
        <x:v>6</x:v>
      </x:c>
      <x:c r="T22" s="23" t="str">
        <x:v>2</x:v>
      </x:c>
      <x:c r="U22" s="23" t="str">
        <x:v>2</x:v>
      </x:c>
      <x:c r="V22" s="21" t="str"/>
      <x:c r="W22" s="21" t="str">
        <x:v>governed_eligible</x:v>
      </x:c>
      <x:c r="X22" s="21" t="str">
        <x:v>fiber</x:v>
      </x:c>
      <x:c r="Y22" s="21" t="str">
        <x:v>shared_waveform; shared_link_or_channel; shared_resource_allocation</x:v>
      </x:c>
      <x:c r="Z22" s="21" t="str">
        <x:v>data_transmission; channel_estimation</x:v>
      </x:c>
      <x:c r="AA22" s="21" t="str">
        <x:v>channel_sensing</x:v>
      </x:c>
      <x:c r="AB22" s="21" t="str">
        <x:v>2</x:v>
      </x:c>
      <x:c r="AC22" s="21" t="str">
        <x:v>analytical; simulation</x:v>
      </x:c>
      <x:c r="AD22" s="21" t="str">
        <x:v>datacenter; optical_access_network</x:v>
      </x:c>
      <x:c r="AE22" s="21" t="str">
        <x:v>inferred</x:v>
      </x:c>
    </x:row>
    <x:row r="23" ht="42" customHeight="1">
      <x:c r="A23" s="21" t="str">
        <x:v>STC-SINGLETON-SCR-00008</x:v>
      </x:c>
      <x:c r="B23" s="21" t="str">
        <x:v>SCR-00008</x:v>
      </x:c>
      <x:c r="C23" s="21" t="str">
        <x:v>OISAC_SCR00008</x:v>
      </x:c>
      <x:c r="D23" s="21" t="str">
        <x:v>OISAC_SCR00008</x:v>
      </x:c>
      <x:c r="E23" s="21" t="str"/>
      <x:c r="F23" s="21" t="str">
        <x:v>OISAC_SCR00008</x:v>
      </x:c>
      <x:c r="G23" s="21" t="str">
        <x:v>\cite{OISAC_SCR00008}</x:v>
      </x:c>
      <x:c r="H23" s="21" t="str">
        <x:v>Liu et al. (2026)</x:v>
      </x:c>
      <x:c r="I23" s="21" t="str">
        <x:v>Enhanced single-fiber bi-directional FT-DVS using a 600-kHz linewidth DBR laser with LPN compensation for O-ISAC [Invited]</x:v>
      </x:c>
      <x:c r="J23" s="23" t="str">
        <x:v>2026</x:v>
      </x:c>
      <x:c r="K23" s="21" t="str">
        <x:v>Chinese Optics Letters</x:v>
      </x:c>
      <x:c r="L23" s="21" t="str">
        <x:v>10.3788/col202624.030006</x:v>
      </x:c>
      <x:c r="M23" s="21" t="str">
        <x:v>RPT-SCR-00008-01</x:v>
      </x:c>
      <x:c r="N23" s="23" t="str">
        <x:v>1</x:v>
      </x:c>
      <x:c r="O23" s="23" t="str">
        <x:v>0</x:v>
      </x:c>
      <x:c r="P23" s="21" t="str">
        <x:v>RPT-SCR-00008-01</x:v>
      </x:c>
      <x:c r="Q23" s="23" t="str">
        <x:v>1</x:v>
      </x:c>
      <x:c r="R23" s="23" t="str">
        <x:v>50</x:v>
      </x:c>
      <x:c r="S23" s="23" t="str">
        <x:v>32</x:v>
      </x:c>
      <x:c r="T23" s="23" t="str">
        <x:v>3</x:v>
      </x:c>
      <x:c r="U23" s="23" t="str">
        <x:v>10</x:v>
      </x:c>
      <x:c r="V23" s="21" t="str"/>
      <x:c r="W23" s="21" t="str">
        <x:v>governed_eligible</x:v>
      </x:c>
      <x:c r="X23" s="21" t="str">
        <x:v>fiber</x:v>
      </x:c>
      <x:c r="Y23" s="21" t="str">
        <x:v>shared_hardware; shared_link_or_channel; shared_application_scenario</x:v>
      </x:c>
      <x:c r="Z23" s="21" t="str">
        <x:v>data_transmission</x:v>
      </x:c>
      <x:c r="AA23" s="21" t="str">
        <x:v>vibration_sensing; localization; monitoring</x:v>
      </x:c>
      <x:c r="AB23" s="21" t="str">
        <x:v>2</x:v>
      </x:c>
      <x:c r="AC23" s="21" t="str">
        <x:v>mixed</x:v>
      </x:c>
      <x:c r="AD23" s="21" t="str">
        <x:v>environment_monitoring; smart_infrastructure</x:v>
      </x:c>
      <x:c r="AE23" s="21" t="str">
        <x:v>inferred</x:v>
      </x:c>
    </x:row>
    <x:row r="24" ht="42" customHeight="1">
      <x:c r="A24" s="21" t="str">
        <x:v>STC-SINGLETON-SCR-00009</x:v>
      </x:c>
      <x:c r="B24" s="21" t="str">
        <x:v>SCR-00009</x:v>
      </x:c>
      <x:c r="C24" s="21" t="str">
        <x:v>OISAC_SCR00009</x:v>
      </x:c>
      <x:c r="D24" s="21" t="str">
        <x:v>OISAC_SCR00009</x:v>
      </x:c>
      <x:c r="E24" s="21" t="str"/>
      <x:c r="F24" s="21" t="str">
        <x:v>OISAC_SCR00009</x:v>
      </x:c>
      <x:c r="G24" s="21" t="str">
        <x:v>\cite{OISAC_SCR00009}</x:v>
      </x:c>
      <x:c r="H24" s="21" t="str">
        <x:v>Bansal et al. (2026)</x:v>
      </x:c>
      <x:c r="I24" s="21" t="str">
        <x:v>Optical integrated sensing and communication (O-ISAC): A unified framework for 6G and AI-Powered intelligent networks</x:v>
      </x:c>
      <x:c r="J24" s="23" t="str">
        <x:v>2026</x:v>
      </x:c>
      <x:c r="K24" s="21" t="str">
        <x:v>Journal of Optical Communications</x:v>
      </x:c>
      <x:c r="L24" s="21" t="str">
        <x:v>10.1515/joc-2026-0007</x:v>
      </x:c>
      <x:c r="M24" s="21" t="str">
        <x:v>RPT-SCR-00009-01</x:v>
      </x:c>
      <x:c r="N24" s="23" t="str">
        <x:v>1</x:v>
      </x:c>
      <x:c r="O24" s="23" t="str">
        <x:v>0</x:v>
      </x:c>
      <x:c r="P24" s="21" t="str">
        <x:v>RPT-SCR-00009-01</x:v>
      </x:c>
      <x:c r="Q24" s="23" t="str">
        <x:v>1</x:v>
      </x:c>
      <x:c r="R24" s="23" t="str">
        <x:v>11</x:v>
      </x:c>
      <x:c r="S24" s="23" t="str">
        <x:v>4</x:v>
      </x:c>
      <x:c r="T24" s="23" t="str">
        <x:v>1</x:v>
      </x:c>
      <x:c r="U24" s="23" t="str">
        <x:v>0</x:v>
      </x:c>
      <x:c r="V24" s="21" t="str"/>
      <x:c r="W24" s="21" t="str">
        <x:v>governed_eligible</x:v>
      </x:c>
      <x:c r="X24" s="21" t="str">
        <x:v>hybrid_optical</x:v>
      </x:c>
      <x:c r="Y24" s="21" t="str">
        <x:v>shared_waveform; shared_hardware; shared_resource_allocation; joint_design_or_optimization</x:v>
      </x:c>
      <x:c r="Z24" s="21" t="str">
        <x:v>data_transmission; resource_allocation; network_access</x:v>
      </x:c>
      <x:c r="AA24" s="21" t="str">
        <x:v>localization; detection; imaging; environmental_perception</x:v>
      </x:c>
      <x:c r="AB24" s="21" t="str">
        <x:v>2</x:v>
      </x:c>
      <x:c r="AC24" s="21" t="str">
        <x:v>numerical_analysis; simulation</x:v>
      </x:c>
      <x:c r="AD24" s="21" t="str">
        <x:v>vehicular; industrial; healthcare; smart_infrastructure</x:v>
      </x:c>
      <x:c r="AE24" s="21" t="str">
        <x:v>direct</x:v>
      </x:c>
    </x:row>
    <x:row r="25" ht="42" customHeight="1">
      <x:c r="A25" s="21" t="str">
        <x:v>STC-SINGLETON-SCR-00011</x:v>
      </x:c>
      <x:c r="B25" s="21" t="str">
        <x:v>SCR-00011</x:v>
      </x:c>
      <x:c r="C25" s="21" t="str">
        <x:v>OISAC_SCR00011</x:v>
      </x:c>
      <x:c r="D25" s="21" t="str">
        <x:v>OISAC_SCR00011</x:v>
      </x:c>
      <x:c r="E25" s="21" t="str"/>
      <x:c r="F25" s="21" t="str">
        <x:v>OISAC_SCR00011</x:v>
      </x:c>
      <x:c r="G25" s="21" t="str">
        <x:v>\cite{OISAC_SCR00011}</x:v>
      </x:c>
      <x:c r="H25" s="21" t="str">
        <x:v>Cui et al. (2024)</x:v>
      </x:c>
      <x:c r="I25" s="21" t="str">
        <x:v>Retroreflective optical ISAC using OFDM: channel modeling and performance analysis</x:v>
      </x:c>
      <x:c r="J25" s="23" t="str">
        <x:v>2024</x:v>
      </x:c>
      <x:c r="K25" s="21" t="str">
        <x:v>Optics Letters</x:v>
      </x:c>
      <x:c r="L25" s="21" t="str">
        <x:v>10.1364/ol.528029</x:v>
      </x:c>
      <x:c r="M25" s="21" t="str">
        <x:v>RPT-SCR-00011-01</x:v>
      </x:c>
      <x:c r="N25" s="23" t="str">
        <x:v>1</x:v>
      </x:c>
      <x:c r="O25" s="23" t="str">
        <x:v>0</x:v>
      </x:c>
      <x:c r="P25" s="21" t="str">
        <x:v>RPT-SCR-00011-01</x:v>
      </x:c>
      <x:c r="Q25" s="23" t="str">
        <x:v>1</x:v>
      </x:c>
      <x:c r="R25" s="23" t="str">
        <x:v>12</x:v>
      </x:c>
      <x:c r="S25" s="23" t="str">
        <x:v>6</x:v>
      </x:c>
      <x:c r="T25" s="23" t="str">
        <x:v>2</x:v>
      </x:c>
      <x:c r="U25" s="23" t="str">
        <x:v>0</x:v>
      </x:c>
      <x:c r="V25" s="21" t="str"/>
      <x:c r="W25" s="21" t="str">
        <x:v>governed_eligible</x:v>
      </x:c>
      <x:c r="X25" s="21" t="str">
        <x:v>FSO</x:v>
      </x:c>
      <x:c r="Y25" s="21" t="str">
        <x:v>shared_waveform; shared_hardware; shared_optical_carrier; shared_link_or_channel</x:v>
      </x:c>
      <x:c r="Z25" s="21" t="str">
        <x:v>data_transmission</x:v>
      </x:c>
      <x:c r="AA25" s="21" t="str">
        <x:v>ranging; localization</x:v>
      </x:c>
      <x:c r="AB25" s="21" t="str">
        <x:v>4</x:v>
      </x:c>
      <x:c r="AC25" s="21" t="str">
        <x:v>analytical; simulation; laboratory_experiment</x:v>
      </x:c>
      <x:c r="AD25" s="21" t="str">
        <x:v>vehicular; industrial</x:v>
      </x:c>
      <x:c r="AE25" s="21" t="str">
        <x:v>inferred</x:v>
      </x:c>
    </x:row>
    <x:row r="26" ht="42" customHeight="1">
      <x:c r="A26" s="21" t="str">
        <x:v>STC-SINGLETON-SCR-00012</x:v>
      </x:c>
      <x:c r="B26" s="21" t="str">
        <x:v>SCR-00012</x:v>
      </x:c>
      <x:c r="C26" s="21" t="str">
        <x:v>OISAC_SCR00012</x:v>
      </x:c>
      <x:c r="D26" s="21" t="str">
        <x:v>OISAC_SCR00012</x:v>
      </x:c>
      <x:c r="E26" s="21" t="str"/>
      <x:c r="F26" s="21" t="str">
        <x:v>OISAC_SCR00012</x:v>
      </x:c>
      <x:c r="G26" s="21" t="str">
        <x:v>\cite{OISAC_SCR00012}</x:v>
      </x:c>
      <x:c r="H26" s="21" t="str">
        <x:v>Ye et al. (2026)</x:v>
      </x:c>
      <x:c r="I26" s="21" t="str">
        <x:v>Single-Source optical integrated sensing and communication (O-ISAC) with sequential target recognition</x:v>
      </x:c>
      <x:c r="J26" s="23" t="str">
        <x:v>2026</x:v>
      </x:c>
      <x:c r="K26" s="21" t="str">
        <x:v>Optics and Laser Technology</x:v>
      </x:c>
      <x:c r="L26" s="21" t="str">
        <x:v>10.1016/j.optlastec.2026.114961</x:v>
      </x:c>
      <x:c r="M26" s="21" t="str">
        <x:v>RPT-SCR-00012-01</x:v>
      </x:c>
      <x:c r="N26" s="23" t="str">
        <x:v>1</x:v>
      </x:c>
      <x:c r="O26" s="23" t="str">
        <x:v>0</x:v>
      </x:c>
      <x:c r="P26" s="21" t="str">
        <x:v>RPT-SCR-00012-01</x:v>
      </x:c>
      <x:c r="Q26" s="23" t="str">
        <x:v>1</x:v>
      </x:c>
      <x:c r="R26" s="23" t="str">
        <x:v>13</x:v>
      </x:c>
      <x:c r="S26" s="23" t="str">
        <x:v>8</x:v>
      </x:c>
      <x:c r="T26" s="23" t="str">
        <x:v>2</x:v>
      </x:c>
      <x:c r="U26" s="23" t="str">
        <x:v>0</x:v>
      </x:c>
      <x:c r="V26" s="21" t="str"/>
      <x:c r="W26" s="21" t="str">
        <x:v>governed_eligible</x:v>
      </x:c>
      <x:c r="X26" s="21" t="str">
        <x:v>FSO</x:v>
      </x:c>
      <x:c r="Y26" s="21" t="str">
        <x:v>shared_optical_carrier; shared_link_or_channel; shared_resource_allocation; mixed</x:v>
      </x:c>
      <x:c r="Z26" s="21" t="str">
        <x:v>data_transmission</x:v>
      </x:c>
      <x:c r="AA26" s="21" t="str">
        <x:v>localization; imaging; detection</x:v>
      </x:c>
      <x:c r="AB26" s="21" t="str">
        <x:v>5</x:v>
      </x:c>
      <x:c r="AC26" s="21" t="str">
        <x:v>laboratory_experiment; prototype_testbed</x:v>
      </x:c>
      <x:c r="AD26" s="21" t="str">
        <x:v>industrial; security</x:v>
      </x:c>
      <x:c r="AE26" s="21" t="str">
        <x:v>direct</x:v>
      </x:c>
    </x:row>
    <x:row r="27" ht="42" customHeight="1">
      <x:c r="A27" s="21" t="str">
        <x:v>STC-SINGLETON-SCR-00013</x:v>
      </x:c>
      <x:c r="B27" s="21" t="str">
        <x:v>SCR-00013</x:v>
      </x:c>
      <x:c r="C27" s="21" t="str">
        <x:v>OISAC_SCR00013</x:v>
      </x:c>
      <x:c r="D27" s="21" t="str">
        <x:v>OISAC_SCR00013</x:v>
      </x:c>
      <x:c r="E27" s="21" t="str"/>
      <x:c r="F27" s="21" t="str">
        <x:v>OISAC_SCR00013</x:v>
      </x:c>
      <x:c r="G27" s="21" t="str">
        <x:v>\cite{OISAC_SCR00013}</x:v>
      </x:c>
      <x:c r="H27" s="21" t="str">
        <x:v>Wang et al. (2026)</x:v>
      </x:c>
      <x:c r="I27" s="21" t="str">
        <x:v>On the coexistence of distributed fiber optic sensing and IM/DD transmission via digital subcarrier multiplexing</x:v>
      </x:c>
      <x:c r="J27" s="23" t="str">
        <x:v>2026</x:v>
      </x:c>
      <x:c r="K27" s="21" t="str">
        <x:v>Optics Express</x:v>
      </x:c>
      <x:c r="L27" s="21" t="str">
        <x:v>10.1364/oe.588592</x:v>
      </x:c>
      <x:c r="M27" s="21" t="str">
        <x:v>RPT-SCR-00013-01</x:v>
      </x:c>
      <x:c r="N27" s="23" t="str">
        <x:v>1</x:v>
      </x:c>
      <x:c r="O27" s="23" t="str">
        <x:v>0</x:v>
      </x:c>
      <x:c r="P27" s="21" t="str">
        <x:v>RPT-SCR-00013-01</x:v>
      </x:c>
      <x:c r="Q27" s="23" t="str">
        <x:v>1</x:v>
      </x:c>
      <x:c r="R27" s="23" t="str">
        <x:v>14</x:v>
      </x:c>
      <x:c r="S27" s="23" t="str">
        <x:v>9</x:v>
      </x:c>
      <x:c r="T27" s="23" t="str">
        <x:v>2</x:v>
      </x:c>
      <x:c r="U27" s="23" t="str">
        <x:v>0</x:v>
      </x:c>
      <x:c r="V27" s="21" t="str"/>
      <x:c r="W27" s="21" t="str">
        <x:v>governed_eligible</x:v>
      </x:c>
      <x:c r="X27" s="21" t="str">
        <x:v>fiber</x:v>
      </x:c>
      <x:c r="Y27" s="21" t="str">
        <x:v>shared_waveform; shared_hardware; shared_optical_carrier; shared_link_or_channel; joint_design_or_optimization</x:v>
      </x:c>
      <x:c r="Z27" s="21" t="str">
        <x:v>data_transmission</x:v>
      </x:c>
      <x:c r="AA27" s="21" t="str">
        <x:v>distributed_acoustic_sensing; vibration_sensing; monitoring</x:v>
      </x:c>
      <x:c r="AB27" s="21" t="str">
        <x:v>5</x:v>
      </x:c>
      <x:c r="AC27" s="21" t="str">
        <x:v>laboratory_experiment; prototype_testbed</x:v>
      </x:c>
      <x:c r="AD27" s="21" t="str">
        <x:v>industrial; environment_monitoring; smart_infrastructure</x:v>
      </x:c>
      <x:c r="AE27" s="21" t="str">
        <x:v>direct</x:v>
      </x:c>
    </x:row>
    <x:row r="28" ht="42" customHeight="1">
      <x:c r="A28" s="21" t="str">
        <x:v>STC-SINGLETON-SCR-00015</x:v>
      </x:c>
      <x:c r="B28" s="21" t="str">
        <x:v>SCR-00015</x:v>
      </x:c>
      <x:c r="C28" s="21" t="str">
        <x:v>OISAC_SCR00015</x:v>
      </x:c>
      <x:c r="D28" s="21" t="str">
        <x:v>OISAC_SCR00015</x:v>
      </x:c>
      <x:c r="E28" s="21" t="str"/>
      <x:c r="F28" s="21" t="str">
        <x:v>OISAC_SCR00015</x:v>
      </x:c>
      <x:c r="G28" s="21" t="str">
        <x:v>\cite{OISAC_SCR00015}</x:v>
      </x:c>
      <x:c r="H28" s="21" t="str">
        <x:v>Zhu et al. (2025)</x:v>
      </x:c>
      <x:c r="I28" s="21" t="str">
        <x:v>Integrated optical covert sensing and communication</x:v>
      </x:c>
      <x:c r="J28" s="23" t="str">
        <x:v>2025</x:v>
      </x:c>
      <x:c r="K28" s="21" t="str">
        <x:v>Chinese Optics Letters</x:v>
      </x:c>
      <x:c r="L28" s="21" t="str">
        <x:v>10.3788/col202523.020602</x:v>
      </x:c>
      <x:c r="M28" s="21" t="str">
        <x:v>RPT-SCR-00015-01</x:v>
      </x:c>
      <x:c r="N28" s="23" t="str">
        <x:v>1</x:v>
      </x:c>
      <x:c r="O28" s="23" t="str">
        <x:v>0</x:v>
      </x:c>
      <x:c r="P28" s="21" t="str">
        <x:v>RPT-SCR-00015-01</x:v>
      </x:c>
      <x:c r="Q28" s="23" t="str">
        <x:v>1</x:v>
      </x:c>
      <x:c r="R28" s="23" t="str">
        <x:v>13</x:v>
      </x:c>
      <x:c r="S28" s="23" t="str">
        <x:v>5</x:v>
      </x:c>
      <x:c r="T28" s="23" t="str">
        <x:v>0</x:v>
      </x:c>
      <x:c r="U28" s="23" t="str">
        <x:v>0</x:v>
      </x:c>
      <x:c r="V28" s="21" t="str"/>
      <x:c r="W28" s="21" t="str">
        <x:v>governed_eligible</x:v>
      </x:c>
      <x:c r="X28" s="21" t="str">
        <x:v>fiber</x:v>
      </x:c>
      <x:c r="Y28" s="21" t="str">
        <x:v>shared_waveform; shared_hardware; shared_optical_carrier; shared_link_or_channel</x:v>
      </x:c>
      <x:c r="Z28" s="21" t="str">
        <x:v>secure_communication; data_transmission</x:v>
      </x:c>
      <x:c r="AA28" s="21" t="str">
        <x:v>vibration_sensing; localization; monitoring</x:v>
      </x:c>
      <x:c r="AB28" s="21" t="str">
        <x:v>5</x:v>
      </x:c>
      <x:c r="AC28" s="21" t="str">
        <x:v>analytical; laboratory_experiment; prototype_testbed</x:v>
      </x:c>
      <x:c r="AD28" s="21" t="str">
        <x:v>security; smart_infrastructure</x:v>
      </x:c>
      <x:c r="AE28" s="21" t="str">
        <x:v>inferred</x:v>
      </x:c>
    </x:row>
    <x:row r="29" ht="42" customHeight="1">
      <x:c r="A29" s="21" t="str">
        <x:v>STC-SINGLETON-SCR-00036</x:v>
      </x:c>
      <x:c r="B29" s="21" t="str">
        <x:v>SCR-00036</x:v>
      </x:c>
      <x:c r="C29" s="21" t="str">
        <x:v>OISAC_SCR00036</x:v>
      </x:c>
      <x:c r="D29" s="21" t="str">
        <x:v>OISAC_SCR00036</x:v>
      </x:c>
      <x:c r="E29" s="21" t="str"/>
      <x:c r="F29" s="21" t="str">
        <x:v>OISAC_SCR00036</x:v>
      </x:c>
      <x:c r="G29" s="21" t="str">
        <x:v>\cite{OISAC_SCR00036}</x:v>
      </x:c>
      <x:c r="H29" s="21" t="str">
        <x:v>Guo et al. (2026)</x:v>
      </x:c>
      <x:c r="I29" s="21" t="str">
        <x:v>Millimeter-Wave Integrated Sensing and Communication System Based on a Photonics-Assisted Phased Array</x:v>
      </x:c>
      <x:c r="J29" s="23" t="str">
        <x:v>2026</x:v>
      </x:c>
      <x:c r="K29" s="21" t="str">
        <x:v>Laser and Photonics Reviews</x:v>
      </x:c>
      <x:c r="L29" s="21" t="str">
        <x:v>10.1002/lpor.202502350</x:v>
      </x:c>
      <x:c r="M29" s="21" t="str">
        <x:v>RPT-SCR-00036-01</x:v>
      </x:c>
      <x:c r="N29" s="23" t="str">
        <x:v>1</x:v>
      </x:c>
      <x:c r="O29" s="23" t="str">
        <x:v>0</x:v>
      </x:c>
      <x:c r="P29" s="21" t="str">
        <x:v>RPT-SCR-00036-01</x:v>
      </x:c>
      <x:c r="Q29" s="23" t="str">
        <x:v>1</x:v>
      </x:c>
      <x:c r="R29" s="23" t="str">
        <x:v>8</x:v>
      </x:c>
      <x:c r="S29" s="23" t="str">
        <x:v>7</x:v>
      </x:c>
      <x:c r="T29" s="23" t="str">
        <x:v>1</x:v>
      </x:c>
      <x:c r="U29" s="23" t="str">
        <x:v>0</x:v>
      </x:c>
      <x:c r="V29" s="21" t="str"/>
      <x:c r="W29" s="21" t="str">
        <x:v>governed_eligible</x:v>
      </x:c>
      <x:c r="X29" s="21" t="str">
        <x:v>photonic_THz</x:v>
      </x:c>
      <x:c r="Y29" s="21" t="str">
        <x:v>shared_waveform; shared_hardware; shared_resource_allocation</x:v>
      </x:c>
      <x:c r="Z29" s="21" t="str">
        <x:v>data_transmission</x:v>
      </x:c>
      <x:c r="AA29" s="21" t="str">
        <x:v>ranging</x:v>
      </x:c>
      <x:c r="AB29" s="21" t="str">
        <x:v>4</x:v>
      </x:c>
      <x:c r="AC29" s="21" t="str">
        <x:v>laboratory_experiment</x:v>
      </x:c>
      <x:c r="AD29" s="21" t="str">
        <x:v>vehicular; industrial</x:v>
      </x:c>
      <x:c r="AE29" s="21" t="str">
        <x:v>direct</x:v>
      </x:c>
    </x:row>
    <x:row r="30" ht="42" customHeight="1">
      <x:c r="A30" s="21" t="str">
        <x:v>STC-SINGLETON-SCR-00038</x:v>
      </x:c>
      <x:c r="B30" s="21" t="str">
        <x:v>SCR-00038</x:v>
      </x:c>
      <x:c r="C30" s="21" t="str">
        <x:v>OISAC_SCR00038</x:v>
      </x:c>
      <x:c r="D30" s="21" t="str">
        <x:v>OISAC_SCR00038</x:v>
      </x:c>
      <x:c r="E30" s="21" t="str"/>
      <x:c r="F30" s="21" t="str">
        <x:v>OISAC_SCR00038</x:v>
      </x:c>
      <x:c r="G30" s="21" t="str">
        <x:v>\cite{OISAC_SCR00038}</x:v>
      </x:c>
      <x:c r="H30" s="21" t="str">
        <x:v>Hu et al. (2025)</x:v>
      </x:c>
      <x:c r="I30" s="21" t="str">
        <x:v>Native and Reconfigurable Distributed Acoustic Sensing Integrated with Single-carrier 64QAM Transmission Signal</x:v>
      </x:c>
      <x:c r="J30" s="23" t="str">
        <x:v>2025</x:v>
      </x:c>
      <x:c r="K30" s="21" t="str">
        <x:v>Optical Fiber Communication Conference (OFC 2025)</x:v>
      </x:c>
      <x:c r="L30" s="21" t="str">
        <x:v>10.1364/ofc.2025.th2a.29</x:v>
      </x:c>
      <x:c r="M30" s="21" t="str">
        <x:v>RPT-SCR-00038-01</x:v>
      </x:c>
      <x:c r="N30" s="23" t="str">
        <x:v>1</x:v>
      </x:c>
      <x:c r="O30" s="23" t="str">
        <x:v>0</x:v>
      </x:c>
      <x:c r="P30" s="21" t="str">
        <x:v>RPT-SCR-00038-01</x:v>
      </x:c>
      <x:c r="Q30" s="23" t="str">
        <x:v>1</x:v>
      </x:c>
      <x:c r="R30" s="23" t="str">
        <x:v>6</x:v>
      </x:c>
      <x:c r="S30" s="23" t="str">
        <x:v>11</x:v>
      </x:c>
      <x:c r="T30" s="23" t="str">
        <x:v>1</x:v>
      </x:c>
      <x:c r="U30" s="23" t="str">
        <x:v>0</x:v>
      </x:c>
      <x:c r="V30" s="21" t="str"/>
      <x:c r="W30" s="21" t="str">
        <x:v>governed_eligible</x:v>
      </x:c>
      <x:c r="X30" s="21" t="str">
        <x:v>fiber</x:v>
      </x:c>
      <x:c r="Y30" s="21" t="str">
        <x:v>shared_waveform; shared_link_or_channel; shared_resource_allocation</x:v>
      </x:c>
      <x:c r="Z30" s="21" t="str">
        <x:v>data_transmission</x:v>
      </x:c>
      <x:c r="AA30" s="21" t="str">
        <x:v>distributed_acoustic_sensing; vibration_sensing</x:v>
      </x:c>
      <x:c r="AB30" s="21" t="str">
        <x:v>4</x:v>
      </x:c>
      <x:c r="AC30" s="21" t="str">
        <x:v>laboratory_experiment</x:v>
      </x:c>
      <x:c r="AD30" s="21" t="str">
        <x:v>6G_access; environment_monitoring; optical_access_network</x:v>
      </x:c>
      <x:c r="AE30" s="21" t="str">
        <x:v>direct</x:v>
      </x:c>
    </x:row>
    <x:row r="31" ht="42" customHeight="1">
      <x:c r="A31" s="21" t="str">
        <x:v>STC-SINGLETON-SCR-00052</x:v>
      </x:c>
      <x:c r="B31" s="21" t="str">
        <x:v>SCR-00052</x:v>
      </x:c>
      <x:c r="C31" s="21" t="str">
        <x:v>OISAC_SCR00052</x:v>
      </x:c>
      <x:c r="D31" s="21" t="str">
        <x:v>OISAC_SCR00052</x:v>
      </x:c>
      <x:c r="E31" s="21" t="str"/>
      <x:c r="F31" s="21" t="str">
        <x:v>OISAC_SCR00052</x:v>
      </x:c>
      <x:c r="G31" s="21" t="str">
        <x:v>\cite{OISAC_SCR00052}</x:v>
      </x:c>
      <x:c r="H31" s="21" t="str">
        <x:v>Allousch et al. (2025)</x:v>
      </x:c>
      <x:c r="I31" s="21" t="str">
        <x:v>Cc-Otdr Sequence Shaping Enabling Joint Co-Directional Sensing and Communication</x:v>
      </x:c>
      <x:c r="J31" s="23" t="str">
        <x:v>2025</x:v>
      </x:c>
      <x:c r="K31" s="21" t="str">
        <x:v>2025 IEEE Photonics Conference, IPC 2025 - Proceedings</x:v>
      </x:c>
      <x:c r="L31" s="21" t="str">
        <x:v>10.1109/ipc65510.2025.11282039</x:v>
      </x:c>
      <x:c r="M31" s="21" t="str">
        <x:v>RPT-SCR-00052-01</x:v>
      </x:c>
      <x:c r="N31" s="23" t="str">
        <x:v>1</x:v>
      </x:c>
      <x:c r="O31" s="23" t="str">
        <x:v>0</x:v>
      </x:c>
      <x:c r="P31" s="21" t="str">
        <x:v>RPT-SCR-00052-01</x:v>
      </x:c>
      <x:c r="Q31" s="23" t="str">
        <x:v>1</x:v>
      </x:c>
      <x:c r="R31" s="23" t="str">
        <x:v>6</x:v>
      </x:c>
      <x:c r="S31" s="23" t="str">
        <x:v>9</x:v>
      </x:c>
      <x:c r="T31" s="23" t="str">
        <x:v>2</x:v>
      </x:c>
      <x:c r="U31" s="23" t="str">
        <x:v>1</x:v>
      </x:c>
      <x:c r="V31" s="21" t="str"/>
      <x:c r="W31" s="21" t="str">
        <x:v>governed_eligible</x:v>
      </x:c>
      <x:c r="X31" s="21" t="str">
        <x:v>fiber</x:v>
      </x:c>
      <x:c r="Y31" s="21" t="str">
        <x:v>shared_link_or_channel; shared_resource_allocation</x:v>
      </x:c>
      <x:c r="Z31" s="21" t="str">
        <x:v>data_transmission</x:v>
      </x:c>
      <x:c r="AA31" s="21" t="str">
        <x:v>distributed_acoustic_sensing; vibration_sensing</x:v>
      </x:c>
      <x:c r="AB31" s="21" t="str">
        <x:v>4</x:v>
      </x:c>
      <x:c r="AC31" s="21" t="str">
        <x:v>laboratory_experiment</x:v>
      </x:c>
      <x:c r="AD31" s="21" t="str">
        <x:v>environment_monitoring</x:v>
      </x:c>
      <x:c r="AE31" s="21" t="str">
        <x:v>inferred</x:v>
      </x:c>
    </x:row>
    <x:row r="32" ht="42" customHeight="1">
      <x:c r="A32" s="21" t="str">
        <x:v>STC-SINGLETON-SCR-00056</x:v>
      </x:c>
      <x:c r="B32" s="21" t="str">
        <x:v>SCR-00056</x:v>
      </x:c>
      <x:c r="C32" s="21" t="str">
        <x:v>OISAC_SCR00056</x:v>
      </x:c>
      <x:c r="D32" s="21" t="str">
        <x:v>OISAC_SCR00056</x:v>
      </x:c>
      <x:c r="E32" s="21" t="str"/>
      <x:c r="F32" s="21" t="str">
        <x:v>OISAC_SCR00056</x:v>
      </x:c>
      <x:c r="G32" s="21" t="str">
        <x:v>\cite{OISAC_SCR00056}</x:v>
      </x:c>
      <x:c r="H32" s="21" t="str">
        <x:v>Ma et al. (2025)</x:v>
      </x:c>
      <x:c r="I32" s="21" t="str">
        <x:v>Joint break-point localization sensing based on OFDR and non-disruptive communication fiber ISAC system</x:v>
      </x:c>
      <x:c r="J32" s="23" t="str">
        <x:v>2025</x:v>
      </x:c>
      <x:c r="K32" s="21" t="str">
        <x:v>Optics and Laser Technology</x:v>
      </x:c>
      <x:c r="L32" s="21" t="str">
        <x:v>10.1016/j.optlastec.2025.113726</x:v>
      </x:c>
      <x:c r="M32" s="21" t="str">
        <x:v>RPT-SCR-00056-01</x:v>
      </x:c>
      <x:c r="N32" s="23" t="str">
        <x:v>1</x:v>
      </x:c>
      <x:c r="O32" s="23" t="str">
        <x:v>0</x:v>
      </x:c>
      <x:c r="P32" s="21" t="str">
        <x:v>RPT-SCR-00056-01</x:v>
      </x:c>
      <x:c r="Q32" s="23" t="str">
        <x:v>1</x:v>
      </x:c>
      <x:c r="R32" s="23" t="str">
        <x:v>8</x:v>
      </x:c>
      <x:c r="S32" s="23" t="str">
        <x:v>15</x:v>
      </x:c>
      <x:c r="T32" s="23" t="str">
        <x:v>2</x:v>
      </x:c>
      <x:c r="U32" s="23" t="str">
        <x:v>2</x:v>
      </x:c>
      <x:c r="V32" s="21" t="str"/>
      <x:c r="W32" s="21" t="str">
        <x:v>governed_eligible</x:v>
      </x:c>
      <x:c r="X32" s="21" t="str">
        <x:v>fiber</x:v>
      </x:c>
      <x:c r="Y32" s="21" t="str">
        <x:v>shared_waveform; shared_hardware; shared_link_or_channel; shared_resource_allocation</x:v>
      </x:c>
      <x:c r="Z32" s="21" t="str">
        <x:v>data_transmission</x:v>
      </x:c>
      <x:c r="AA32" s="21" t="str">
        <x:v>localization; monitoring</x:v>
      </x:c>
      <x:c r="AB32" s="21" t="str">
        <x:v>4</x:v>
      </x:c>
      <x:c r="AC32" s="21" t="str">
        <x:v>analytical; simulation; laboratory_experiment; mixed</x:v>
      </x:c>
      <x:c r="AD32" s="21" t="str">
        <x:v>indoor_positioning; security; environment_monitoring</x:v>
      </x:c>
      <x:c r="AE32" s="21" t="str">
        <x:v>inferred</x:v>
      </x:c>
    </x:row>
    <x:row r="33" ht="42" customHeight="1">
      <x:c r="A33" s="21" t="str">
        <x:v>STC-SINGLETON-SCR-00057</x:v>
      </x:c>
      <x:c r="B33" s="21" t="str">
        <x:v>SCR-00057</x:v>
      </x:c>
      <x:c r="C33" s="21" t="str">
        <x:v>OISAC_SCR00057</x:v>
      </x:c>
      <x:c r="D33" s="21" t="str">
        <x:v>OISAC_SCR00057</x:v>
      </x:c>
      <x:c r="E33" s="21" t="str"/>
      <x:c r="F33" s="21" t="str">
        <x:v>OISAC_SCR00057</x:v>
      </x:c>
      <x:c r="G33" s="21" t="str">
        <x:v>\cite{OISAC_SCR00057}</x:v>
      </x:c>
      <x:c r="H33" s="21" t="str">
        <x:v>Maoqi et al. (2025)</x:v>
      </x:c>
      <x:c r="I33" s="21" t="str">
        <x:v>Pre-Compensation of LFM Sensing Probe via Integrated Sensing and Communication over Fiber System</x:v>
      </x:c>
      <x:c r="J33" s="23" t="str">
        <x:v>2025</x:v>
      </x:c>
      <x:c r="K33" s="21" t="str">
        <x:v>Opto-Electronics and Communications Conference, OECC</x:v>
      </x:c>
      <x:c r="L33" s="21" t="str">
        <x:v>10.23919/oecc/psc62146.2025.11111272</x:v>
      </x:c>
      <x:c r="M33" s="21" t="str">
        <x:v>RPT-SCR-00057-01</x:v>
      </x:c>
      <x:c r="N33" s="23" t="str">
        <x:v>1</x:v>
      </x:c>
      <x:c r="O33" s="23" t="str">
        <x:v>0</x:v>
      </x:c>
      <x:c r="P33" s="21" t="str">
        <x:v>RPT-SCR-00057-01</x:v>
      </x:c>
      <x:c r="Q33" s="23" t="str">
        <x:v>1</x:v>
      </x:c>
      <x:c r="R33" s="23" t="str">
        <x:v>7</x:v>
      </x:c>
      <x:c r="S33" s="23" t="str">
        <x:v>7</x:v>
      </x:c>
      <x:c r="T33" s="23" t="str">
        <x:v>1</x:v>
      </x:c>
      <x:c r="U33" s="23" t="str">
        <x:v>1</x:v>
      </x:c>
      <x:c r="V33" s="21" t="str"/>
      <x:c r="W33" s="21" t="str">
        <x:v>governed_eligible</x:v>
      </x:c>
      <x:c r="X33" s="21" t="str">
        <x:v>fiber</x:v>
      </x:c>
      <x:c r="Y33" s="21" t="str">
        <x:v>shared_link_or_channel; shared_resource_allocation</x:v>
      </x:c>
      <x:c r="Z33" s="21" t="str">
        <x:v>data_transmission; channel_estimation</x:v>
      </x:c>
      <x:c r="AA33" s="21" t="str">
        <x:v>distributed_acoustic_sensing; vibration_sensing</x:v>
      </x:c>
      <x:c r="AB33" s="21" t="str">
        <x:v>4</x:v>
      </x:c>
      <x:c r="AC33" s="21" t="str">
        <x:v>laboratory_experiment</x:v>
      </x:c>
      <x:c r="AD33" s="21" t="str">
        <x:v>environment_monitoring</x:v>
      </x:c>
      <x:c r="AE33" s="21" t="str">
        <x:v>inferred</x:v>
      </x:c>
    </x:row>
    <x:row r="34" ht="42" customHeight="1">
      <x:c r="A34" s="21" t="str">
        <x:v>STC-SINGLETON-SCR-00086</x:v>
      </x:c>
      <x:c r="B34" s="21" t="str">
        <x:v>SCR-00086</x:v>
      </x:c>
      <x:c r="C34" s="21" t="str">
        <x:v>OISAC_SCR00086</x:v>
      </x:c>
      <x:c r="D34" s="21" t="str">
        <x:v>OISAC_SCR00086</x:v>
      </x:c>
      <x:c r="E34" s="21" t="str"/>
      <x:c r="F34" s="21" t="str">
        <x:v>OISAC_SCR00086</x:v>
      </x:c>
      <x:c r="G34" s="21" t="str">
        <x:v>\cite{OISAC_SCR00086}</x:v>
      </x:c>
      <x:c r="H34" s="21" t="str">
        <x:v>Lyu et al. (2025)</x:v>
      </x:c>
      <x:c r="I34" s="21" t="str">
        <x:v>Photonic THz Sensing-assisted Multipath Channel Estimation for ISAC</x:v>
      </x:c>
      <x:c r="J34" s="23" t="str">
        <x:v>2025</x:v>
      </x:c>
      <x:c r="K34" s="21" t="str">
        <x:v>Optical Fiber Communication Conference (OFC 2025)</x:v>
      </x:c>
      <x:c r="L34" s="21" t="str">
        <x:v>10.1364/ofc.2025.th2a.23</x:v>
      </x:c>
      <x:c r="M34" s="21" t="str">
        <x:v>RPT-SCR-00086-01</x:v>
      </x:c>
      <x:c r="N34" s="23" t="str">
        <x:v>1</x:v>
      </x:c>
      <x:c r="O34" s="23" t="str">
        <x:v>0</x:v>
      </x:c>
      <x:c r="P34" s="21" t="str">
        <x:v>RPT-SCR-00086-01</x:v>
      </x:c>
      <x:c r="Q34" s="23" t="str">
        <x:v>1</x:v>
      </x:c>
      <x:c r="R34" s="23" t="str">
        <x:v>7</x:v>
      </x:c>
      <x:c r="S34" s="23" t="str">
        <x:v>8</x:v>
      </x:c>
      <x:c r="T34" s="23" t="str">
        <x:v>1</x:v>
      </x:c>
      <x:c r="U34" s="23" t="str">
        <x:v>0</x:v>
      </x:c>
      <x:c r="V34" s="21" t="str"/>
      <x:c r="W34" s="21" t="str">
        <x:v>governed_eligible</x:v>
      </x:c>
      <x:c r="X34" s="21" t="str">
        <x:v>photonic_THz</x:v>
      </x:c>
      <x:c r="Y34" s="21" t="str">
        <x:v>shared_waveform; shared_hardware; shared_resource_allocation</x:v>
      </x:c>
      <x:c r="Z34" s="21" t="str">
        <x:v>data_transmission; channel_estimation</x:v>
      </x:c>
      <x:c r="AA34" s="21" t="str">
        <x:v>channel_sensing</x:v>
      </x:c>
      <x:c r="AB34" s="21" t="str">
        <x:v>4</x:v>
      </x:c>
      <x:c r="AC34" s="21" t="str">
        <x:v>laboratory_experiment</x:v>
      </x:c>
      <x:c r="AD34" s="21" t="str">
        <x:v>other</x:v>
      </x:c>
      <x:c r="AE34" s="21" t="str">
        <x:v>inferred</x:v>
      </x:c>
    </x:row>
    <x:row r="35" ht="42" customHeight="1">
      <x:c r="A35" s="21" t="str">
        <x:v>STC-SINGLETON-SCR-00091</x:v>
      </x:c>
      <x:c r="B35" s="21" t="str">
        <x:v>SCR-00091</x:v>
      </x:c>
      <x:c r="C35" s="21" t="str">
        <x:v>OISAC_SCR00091</x:v>
      </x:c>
      <x:c r="D35" s="21" t="str">
        <x:v>OISAC_SCR00091</x:v>
      </x:c>
      <x:c r="E35" s="21" t="str"/>
      <x:c r="F35" s="21" t="str">
        <x:v>OISAC_SCR00091</x:v>
      </x:c>
      <x:c r="G35" s="21" t="str">
        <x:v>\cite{OISAC_SCR00091}</x:v>
      </x:c>
      <x:c r="H35" s="21" t="str">
        <x:v>Yu et al. (2025)</x:v>
      </x:c>
      <x:c r="I35" s="21" t="str">
        <x:v>Communication and Sensing via Hermite-Gaussian Time-Domain Mode-Division-Multiple-Access</x:v>
      </x:c>
      <x:c r="J35" s="23" t="str">
        <x:v>2025</x:v>
      </x:c>
      <x:c r="K35" s="21" t="str">
        <x:v>Asia Communications and Photonics Conference, ACP</x:v>
      </x:c>
      <x:c r="L35" s="21" t="str">
        <x:v>10.1109/acp66871.2025.11349797</x:v>
      </x:c>
      <x:c r="M35" s="21" t="str">
        <x:v>RPT-SCR-00091-01</x:v>
      </x:c>
      <x:c r="N35" s="23" t="str">
        <x:v>1</x:v>
      </x:c>
      <x:c r="O35" s="23" t="str">
        <x:v>0</x:v>
      </x:c>
      <x:c r="P35" s="21" t="str">
        <x:v>RPT-SCR-00091-01</x:v>
      </x:c>
      <x:c r="Q35" s="23" t="str">
        <x:v>1</x:v>
      </x:c>
      <x:c r="R35" s="23" t="str">
        <x:v>9</x:v>
      </x:c>
      <x:c r="S35" s="23" t="str">
        <x:v>6</x:v>
      </x:c>
      <x:c r="T35" s="23" t="str">
        <x:v>0</x:v>
      </x:c>
      <x:c r="U35" s="23" t="str">
        <x:v>0</x:v>
      </x:c>
      <x:c r="V35" s="21" t="str"/>
      <x:c r="W35" s="21" t="str">
        <x:v>governed_eligible</x:v>
      </x:c>
      <x:c r="X35" s="21" t="str">
        <x:v>hybrid_optical</x:v>
      </x:c>
      <x:c r="Y35" s="21" t="str">
        <x:v>shared_waveform; shared_hardware; shared_resource_allocation; joint_design_or_optimization</x:v>
      </x:c>
      <x:c r="Z35" s="21" t="str">
        <x:v>dual_mode_data_transmission</x:v>
      </x:c>
      <x:c r="AA35" s="21" t="str">
        <x:v>phase_tracking; distance_sensing</x:v>
      </x:c>
      <x:c r="AB35" s="21" t="str">
        <x:v>2</x:v>
      </x:c>
      <x:c r="AC35" s="21" t="str">
        <x:v>numerical_analysis; simulation</x:v>
      </x:c>
      <x:c r="AD35" s="21" t="str">
        <x:v>aerospace</x:v>
      </x:c>
      <x:c r="AE35" s="21" t="str">
        <x:v>inferred</x:v>
      </x:c>
    </x:row>
    <x:row r="36" ht="42" customHeight="1">
      <x:c r="A36" s="21" t="str">
        <x:v>STC-SINGLETON-SCR-00110</x:v>
      </x:c>
      <x:c r="B36" s="21" t="str">
        <x:v>SCR-00110</x:v>
      </x:c>
      <x:c r="C36" s="21" t="str">
        <x:v>OISAC_SCR00110</x:v>
      </x:c>
      <x:c r="D36" s="21" t="str">
        <x:v>OISAC_SCR00110</x:v>
      </x:c>
      <x:c r="E36" s="21" t="str"/>
      <x:c r="F36" s="21" t="str">
        <x:v>OISAC_SCR00110</x:v>
      </x:c>
      <x:c r="G36" s="21" t="str">
        <x:v>\cite{OISAC_SCR00110}</x:v>
      </x:c>
      <x:c r="H36" s="21" t="str">
        <x:v>Liu et al. (2026)</x:v>
      </x:c>
      <x:c r="I36" s="21" t="str">
        <x:v>Integrated Optical Camera Communication and Scene Sensing Based on Generative Adversarial Networks</x:v>
      </x:c>
      <x:c r="J36" s="23" t="str">
        <x:v>2026</x:v>
      </x:c>
      <x:c r="K36" s="21" t="str">
        <x:v>IEEE Transactions on Mobile Computing</x:v>
      </x:c>
      <x:c r="L36" s="21" t="str">
        <x:v>10.1109/tmc.2025.3649981</x:v>
      </x:c>
      <x:c r="M36" s="21" t="str">
        <x:v>RPT-SCR-00110-01</x:v>
      </x:c>
      <x:c r="N36" s="23" t="str">
        <x:v>1</x:v>
      </x:c>
      <x:c r="O36" s="23" t="str">
        <x:v>0</x:v>
      </x:c>
      <x:c r="P36" s="21" t="str">
        <x:v>RPT-SCR-00110-01</x:v>
      </x:c>
      <x:c r="Q36" s="23" t="str">
        <x:v>1</x:v>
      </x:c>
      <x:c r="R36" s="23" t="str">
        <x:v>12</x:v>
      </x:c>
      <x:c r="S36" s="23" t="str">
        <x:v>9</x:v>
      </x:c>
      <x:c r="T36" s="23" t="str">
        <x:v>2</x:v>
      </x:c>
      <x:c r="U36" s="23" t="str">
        <x:v>0</x:v>
      </x:c>
      <x:c r="V36" s="21" t="str"/>
      <x:c r="W36" s="21" t="str">
        <x:v>governed_eligible</x:v>
      </x:c>
      <x:c r="X36" s="21" t="str">
        <x:v>VLC_LiFi</x:v>
      </x:c>
      <x:c r="Y36" s="21" t="str">
        <x:v>shared_waveform; shared_hardware; shared_optical_carrier; joint_design_or_optimization; shared_application_scenario</x:v>
      </x:c>
      <x:c r="Z36" s="21" t="str">
        <x:v>reflected_optical_camera_communication; stripe_decoding</x:v>
      </x:c>
      <x:c r="AA36" s="21" t="str">
        <x:v>scene_image_reconstruction; scene_recognition</x:v>
      </x:c>
      <x:c r="AB36" s="21" t="str">
        <x:v>4</x:v>
      </x:c>
      <x:c r="AC36" s="21" t="str">
        <x:v>dataset_based; laboratory_experiment; mixed</x:v>
      </x:c>
      <x:c r="AD36" s="21" t="str">
        <x:v>smart_infrastructure</x:v>
      </x:c>
      <x:c r="AE36" s="21" t="str">
        <x:v>inferred</x:v>
      </x:c>
    </x:row>
    <x:row r="37" ht="42" customHeight="1">
      <x:c r="A37" s="21" t="str">
        <x:v>STC-SINGLETON-SCR-00123</x:v>
      </x:c>
      <x:c r="B37" s="21" t="str">
        <x:v>SCR-00123</x:v>
      </x:c>
      <x:c r="C37" s="21" t="str">
        <x:v>OISAC_SCR00123</x:v>
      </x:c>
      <x:c r="D37" s="21" t="str">
        <x:v>OISAC_SCR00123</x:v>
      </x:c>
      <x:c r="E37" s="21" t="str"/>
      <x:c r="F37" s="21" t="str">
        <x:v>OISAC_SCR00123</x:v>
      </x:c>
      <x:c r="G37" s="21" t="str">
        <x:v>\cite{OISAC_SCR00123}</x:v>
      </x:c>
      <x:c r="H37" s="21" t="str">
        <x:v>Zhang et al. (2026)</x:v>
      </x:c>
      <x:c r="I37" s="21" t="str">
        <x:v>Glass fiber-based integrated sensing and communication system for vehicular applications</x:v>
      </x:c>
      <x:c r="J37" s="23" t="str">
        <x:v>2026</x:v>
      </x:c>
      <x:c r="K37" s="21" t="str">
        <x:v>Advanced Photonics Nexus</x:v>
      </x:c>
      <x:c r="L37" s="21" t="str">
        <x:v>10.1117/1.apn.5.1.016011</x:v>
      </x:c>
      <x:c r="M37" s="21" t="str">
        <x:v>RPT-SCR-00123-01</x:v>
      </x:c>
      <x:c r="N37" s="23" t="str">
        <x:v>1</x:v>
      </x:c>
      <x:c r="O37" s="23" t="str">
        <x:v>0</x:v>
      </x:c>
      <x:c r="P37" s="21" t="str">
        <x:v>RPT-SCR-00123-01</x:v>
      </x:c>
      <x:c r="Q37" s="23" t="str">
        <x:v>1</x:v>
      </x:c>
      <x:c r="R37" s="23" t="str">
        <x:v>11</x:v>
      </x:c>
      <x:c r="S37" s="23" t="str">
        <x:v>9</x:v>
      </x:c>
      <x:c r="T37" s="23" t="str">
        <x:v>0</x:v>
      </x:c>
      <x:c r="U37" s="23" t="str">
        <x:v>0</x:v>
      </x:c>
      <x:c r="V37" s="21" t="str"/>
      <x:c r="W37" s="21" t="str">
        <x:v>governed_eligible</x:v>
      </x:c>
      <x:c r="X37" s="21" t="str">
        <x:v>fiber</x:v>
      </x:c>
      <x:c r="Y37" s="21" t="str">
        <x:v>shared_link_or_channel; shared_application_scenario</x:v>
      </x:c>
      <x:c r="Z37" s="21" t="str">
        <x:v>high_speed_in_vehicle_data_transmission</x:v>
      </x:c>
      <x:c r="AA37" s="21" t="str">
        <x:v>distributed_temperature_monitoring</x:v>
      </x:c>
      <x:c r="AB37" s="21" t="str">
        <x:v>5</x:v>
      </x:c>
      <x:c r="AC37" s="21" t="str">
        <x:v>laboratory_experiment; prototype_testbed</x:v>
      </x:c>
      <x:c r="AD37" s="21" t="str">
        <x:v>vehicular; industrial; smart_infrastructure</x:v>
      </x:c>
      <x:c r="AE37" s="21" t="str">
        <x:v>not_applicable</x:v>
      </x:c>
    </x:row>
    <x:row r="38" ht="42" customHeight="1">
      <x:c r="A38" s="21" t="str">
        <x:v>STC-SINGLETON-SCR-00151</x:v>
      </x:c>
      <x:c r="B38" s="21" t="str">
        <x:v>SCR-00151</x:v>
      </x:c>
      <x:c r="C38" s="21" t="str">
        <x:v>OISAC_SCR00151</x:v>
      </x:c>
      <x:c r="D38" s="21" t="str">
        <x:v>OISAC_SCR00151</x:v>
      </x:c>
      <x:c r="E38" s="21" t="str"/>
      <x:c r="F38" s="21" t="str">
        <x:v>OISAC_SCR00151</x:v>
      </x:c>
      <x:c r="G38" s="21" t="str">
        <x:v>\cite{OISAC_SCR00151}</x:v>
      </x:c>
      <x:c r="H38" s="21" t="str">
        <x:v>Yang et al. (2025)</x:v>
      </x:c>
      <x:c r="I38" s="21" t="str">
        <x:v>Integrated Communication and Enhanced Forward Phase-Based Sensing Based on Frequency-Domain Pilot Tones in DSCM Systems Using 100 kHz ECLs</x:v>
      </x:c>
      <x:c r="J38" s="23" t="str">
        <x:v>2025</x:v>
      </x:c>
      <x:c r="K38" s="21" t="str">
        <x:v>Journal of Lightwave Technology</x:v>
      </x:c>
      <x:c r="L38" s="21" t="str">
        <x:v>10.1109/jlt.2024.3510371</x:v>
      </x:c>
      <x:c r="M38" s="21" t="str">
        <x:v>RPT-SCR-00151-01</x:v>
      </x:c>
      <x:c r="N38" s="23" t="str">
        <x:v>1</x:v>
      </x:c>
      <x:c r="O38" s="23" t="str">
        <x:v>0</x:v>
      </x:c>
      <x:c r="P38" s="21" t="str">
        <x:v>RPT-SCR-00151-01</x:v>
      </x:c>
      <x:c r="Q38" s="23" t="str">
        <x:v>1</x:v>
      </x:c>
      <x:c r="R38" s="23" t="str">
        <x:v>10</x:v>
      </x:c>
      <x:c r="S38" s="23" t="str">
        <x:v>8</x:v>
      </x:c>
      <x:c r="T38" s="23" t="str">
        <x:v>1</x:v>
      </x:c>
      <x:c r="U38" s="23" t="str">
        <x:v>0</x:v>
      </x:c>
      <x:c r="V38" s="21" t="str"/>
      <x:c r="W38" s="21" t="str">
        <x:v>governed_eligible</x:v>
      </x:c>
      <x:c r="X38" s="21" t="str">
        <x:v>fiber</x:v>
      </x:c>
      <x:c r="Y38" s="21" t="str">
        <x:v>shared_waveform; shared_hardware; shared_link_or_channel; shared_resource_allocation; joint_design_or_optimization</x:v>
      </x:c>
      <x:c r="Z38" s="21" t="str">
        <x:v>coherent_DSCM_data_transmission</x:v>
      </x:c>
      <x:c r="AA38" s="21" t="str">
        <x:v>forward_phase_vibration_sensing; cable_identification</x:v>
      </x:c>
      <x:c r="AB38" s="21" t="str">
        <x:v>4</x:v>
      </x:c>
      <x:c r="AC38" s="21" t="str">
        <x:v>simulation; laboratory_experiment; mixed</x:v>
      </x:c>
      <x:c r="AD38" s="21" t="str">
        <x:v>datacenter; optical_access_network</x:v>
      </x:c>
      <x:c r="AE38" s="21" t="str">
        <x:v>inferred</x:v>
      </x:c>
    </x:row>
    <x:row r="39" ht="42" customHeight="1">
      <x:c r="A39" s="21" t="str">
        <x:v>STC-SINGLETON-SCR-00160</x:v>
      </x:c>
      <x:c r="B39" s="21" t="str">
        <x:v>SCR-00160</x:v>
      </x:c>
      <x:c r="C39" s="21" t="str">
        <x:v>OISAC_SCR00160</x:v>
      </x:c>
      <x:c r="D39" s="21" t="str">
        <x:v>OISAC_SCR00160</x:v>
      </x:c>
      <x:c r="E39" s="21" t="str"/>
      <x:c r="F39" s="21" t="str">
        <x:v>OISAC_SCR00160</x:v>
      </x:c>
      <x:c r="G39" s="21" t="str">
        <x:v>\cite{OISAC_SCR00160}</x:v>
      </x:c>
      <x:c r="H39" s="21" t="str">
        <x:v>Che et al. (2025)</x:v>
      </x:c>
      <x:c r="I39" s="21" t="str">
        <x:v>Photonic Generation of Joint Amplitude-Frequency Modulated Waveform for THz Integrated Sensing and Communication</x:v>
      </x:c>
      <x:c r="J39" s="23" t="str">
        <x:v>2025</x:v>
      </x:c>
      <x:c r="K39" s="21" t="str">
        <x:v>Microwave and Optical Technology Letters</x:v>
      </x:c>
      <x:c r="L39" s="21" t="str">
        <x:v>10.1002/mop.70216</x:v>
      </x:c>
      <x:c r="M39" s="21" t="str">
        <x:v>RPT-SCR-00160-01</x:v>
      </x:c>
      <x:c r="N39" s="23" t="str">
        <x:v>1</x:v>
      </x:c>
      <x:c r="O39" s="23" t="str">
        <x:v>0</x:v>
      </x:c>
      <x:c r="P39" s="21" t="str">
        <x:v>RPT-SCR-00160-01</x:v>
      </x:c>
      <x:c r="Q39" s="23" t="str">
        <x:v>1</x:v>
      </x:c>
      <x:c r="R39" s="23" t="str">
        <x:v>9</x:v>
      </x:c>
      <x:c r="S39" s="23" t="str">
        <x:v>6</x:v>
      </x:c>
      <x:c r="T39" s="23" t="str">
        <x:v>1</x:v>
      </x:c>
      <x:c r="U39" s="23" t="str">
        <x:v>0</x:v>
      </x:c>
      <x:c r="V39" s="21" t="str"/>
      <x:c r="W39" s="21" t="str">
        <x:v>governed_eligible</x:v>
      </x:c>
      <x:c r="X39" s="21" t="str">
        <x:v>photonic_THz</x:v>
      </x:c>
      <x:c r="Y39" s="21" t="str">
        <x:v>shared_waveform; shared_hardware; shared_optical_carrier; joint_design_or_optimization</x:v>
      </x:c>
      <x:c r="Z39" s="21" t="str">
        <x:v>THz_2ASK_data_transmission</x:v>
      </x:c>
      <x:c r="AA39" s="21" t="str">
        <x:v>SFCW_radar_waveform_generation; target_detection_potential</x:v>
      </x:c>
      <x:c r="AB39" s="21" t="str">
        <x:v>5</x:v>
      </x:c>
      <x:c r="AC39" s="21" t="str">
        <x:v>laboratory_experiment; prototype_testbed</x:v>
      </x:c>
      <x:c r="AD39" s="21" t="str">
        <x:v>6G_access; vehicular</x:v>
      </x:c>
      <x:c r="AE39" s="21" t="str">
        <x:v>inferred</x:v>
      </x:c>
    </x:row>
    <x:row r="40" ht="42" customHeight="1">
      <x:c r="A40" s="21" t="str">
        <x:v>STC-SINGLETON-SCR-00177</x:v>
      </x:c>
      <x:c r="B40" s="21" t="str">
        <x:v>SCR-00177</x:v>
      </x:c>
      <x:c r="C40" s="21" t="str">
        <x:v>OISAC_SCR00177</x:v>
      </x:c>
      <x:c r="D40" s="21" t="str">
        <x:v>OISAC_SCR00177</x:v>
      </x:c>
      <x:c r="E40" s="21" t="str"/>
      <x:c r="F40" s="21" t="str">
        <x:v>OISAC_SCR00177</x:v>
      </x:c>
      <x:c r="G40" s="21" t="str">
        <x:v>\cite{OISAC_SCR00177}</x:v>
      </x:c>
      <x:c r="H40" s="21" t="str">
        <x:v>Tao et al. (2026)</x:v>
      </x:c>
      <x:c r="I40" s="21" t="str">
        <x:v>Integrated photonic ultrawideband real-time spectrum sensing for 6G wireless networks</x:v>
      </x:c>
      <x:c r="J40" s="23" t="str">
        <x:v>2026</x:v>
      </x:c>
      <x:c r="K40" s="21" t="str">
        <x:v>Nature Communications</x:v>
      </x:c>
      <x:c r="L40" s="21" t="str">
        <x:v>10.1038/s41467-026-70389-0</x:v>
      </x:c>
      <x:c r="M40" s="21" t="str">
        <x:v>RPT-SCR-00177-01</x:v>
      </x:c>
      <x:c r="N40" s="23" t="str">
        <x:v>1</x:v>
      </x:c>
      <x:c r="O40" s="23" t="str">
        <x:v>0</x:v>
      </x:c>
      <x:c r="P40" s="21" t="str">
        <x:v>RPT-SCR-00177-01</x:v>
      </x:c>
      <x:c r="Q40" s="23" t="str">
        <x:v>1</x:v>
      </x:c>
      <x:c r="R40" s="23" t="str">
        <x:v>14</x:v>
      </x:c>
      <x:c r="S40" s="23" t="str">
        <x:v>10</x:v>
      </x:c>
      <x:c r="T40" s="23" t="str">
        <x:v>2</x:v>
      </x:c>
      <x:c r="U40" s="23" t="str">
        <x:v>0</x:v>
      </x:c>
      <x:c r="V40" s="21" t="str"/>
      <x:c r="W40" s="21" t="str">
        <x:v>governed_eligible</x:v>
      </x:c>
      <x:c r="X40" s="21" t="str">
        <x:v>photonic_THz</x:v>
      </x:c>
      <x:c r="Y40" s="21" t="str">
        <x:v>shared_resource_allocation; joint_design_or_optimization; shared_application_scenario</x:v>
      </x:c>
      <x:c r="Z40" s="21" t="str">
        <x:v>dynamic_QPSK_wireless_communication</x:v>
      </x:c>
      <x:c r="AA40" s="21" t="str">
        <x:v>real_time_spectrum_sensing; FMCW_target_ranging; radar_imaging_simulation</x:v>
      </x:c>
      <x:c r="AB40" s="21" t="str">
        <x:v>5</x:v>
      </x:c>
      <x:c r="AC40" s="21" t="str">
        <x:v>simulation; laboratory_experiment; prototype_testbed; mixed</x:v>
      </x:c>
      <x:c r="AD40" s="21" t="str">
        <x:v>6G_access; vehicular; smart_infrastructure</x:v>
      </x:c>
      <x:c r="AE40" s="21" t="str">
        <x:v>direct</x:v>
      </x:c>
    </x:row>
    <x:row r="41" ht="42" customHeight="1">
      <x:c r="A41" s="21" t="str">
        <x:v>STC-SINGLETON-SCR-00185</x:v>
      </x:c>
      <x:c r="B41" s="21" t="str">
        <x:v>SCR-00185</x:v>
      </x:c>
      <x:c r="C41" s="21" t="str">
        <x:v>OISAC_SCR00185</x:v>
      </x:c>
      <x:c r="D41" s="21" t="str">
        <x:v>OISAC_SCR00185</x:v>
      </x:c>
      <x:c r="E41" s="21" t="str"/>
      <x:c r="F41" s="21" t="str">
        <x:v>OISAC_SCR00185</x:v>
      </x:c>
      <x:c r="G41" s="21" t="str">
        <x:v>\cite{OISAC_SCR00185}</x:v>
      </x:c>
      <x:c r="H41" s="21" t="str">
        <x:v>Kaide et al. (2025)</x:v>
      </x:c>
      <x:c r="I41" s="21" t="str">
        <x:v>Integrated Terahertz FMCW Radar and FSK Communication Enabled by High-Speed Wavelength Tunable Lasers</x:v>
      </x:c>
      <x:c r="J41" s="23" t="str">
        <x:v>2025</x:v>
      </x:c>
      <x:c r="K41" s="21" t="str">
        <x:v>Photonics</x:v>
      </x:c>
      <x:c r="L41" s="21" t="str">
        <x:v>10.3390/photonics12100977</x:v>
      </x:c>
      <x:c r="M41" s="21" t="str">
        <x:v>RPT-SCR-00185-01</x:v>
      </x:c>
      <x:c r="N41" s="23" t="str">
        <x:v>1</x:v>
      </x:c>
      <x:c r="O41" s="23" t="str">
        <x:v>0</x:v>
      </x:c>
      <x:c r="P41" s="21" t="str">
        <x:v>RPT-SCR-00185-01</x:v>
      </x:c>
      <x:c r="Q41" s="23" t="str">
        <x:v>1</x:v>
      </x:c>
      <x:c r="R41" s="23" t="str">
        <x:v>12</x:v>
      </x:c>
      <x:c r="S41" s="23" t="str">
        <x:v>5</x:v>
      </x:c>
      <x:c r="T41" s="23" t="str">
        <x:v>0</x:v>
      </x:c>
      <x:c r="U41" s="23" t="str">
        <x:v>0</x:v>
      </x:c>
      <x:c r="V41" s="21" t="str"/>
      <x:c r="W41" s="21" t="str">
        <x:v>governed_eligible</x:v>
      </x:c>
      <x:c r="X41" s="21" t="str">
        <x:v>photonic_THz</x:v>
      </x:c>
      <x:c r="Y41" s="21" t="str">
        <x:v>shared_hardware; shared_resource_allocation</x:v>
      </x:c>
      <x:c r="Z41" s="21" t="str">
        <x:v>THz_2FSK_data_transmission</x:v>
      </x:c>
      <x:c r="AA41" s="21" t="str">
        <x:v>FMCW_target_ranging</x:v>
      </x:c>
      <x:c r="AB41" s="21" t="str">
        <x:v>5</x:v>
      </x:c>
      <x:c r="AC41" s="21" t="str">
        <x:v>laboratory_experiment; prototype_testbed</x:v>
      </x:c>
      <x:c r="AD41" s="21" t="str">
        <x:v>6G_access; vehicular</x:v>
      </x:c>
      <x:c r="AE41" s="21" t="str">
        <x:v>direct</x:v>
      </x:c>
    </x:row>
    <x:row r="42" ht="42" customHeight="1">
      <x:c r="A42" s="21" t="str">
        <x:v>STC-SINGLETON-SCR-00189</x:v>
      </x:c>
      <x:c r="B42" s="21" t="str">
        <x:v>SCR-00189</x:v>
      </x:c>
      <x:c r="C42" s="21" t="str">
        <x:v>OISAC_SCR00189</x:v>
      </x:c>
      <x:c r="D42" s="21" t="str">
        <x:v>OISAC_SCR00189</x:v>
      </x:c>
      <x:c r="E42" s="21" t="str"/>
      <x:c r="F42" s="21" t="str">
        <x:v>OISAC_SCR00189</x:v>
      </x:c>
      <x:c r="G42" s="21" t="str">
        <x:v>\cite{OISAC_SCR00189}</x:v>
      </x:c>
      <x:c r="H42" s="21" t="str">
        <x:v>Matsuda et al. (2026)</x:v>
      </x:c>
      <x:c r="I42" s="21" t="str">
        <x:v>Sensing µm-scale vibrations in the Hz range within a THz communication system</x:v>
      </x:c>
      <x:c r="J42" s="23" t="str">
        <x:v>2026</x:v>
      </x:c>
      <x:c r="K42" s="21" t="str">
        <x:v>Optics Express</x:v>
      </x:c>
      <x:c r="L42" s="21" t="str">
        <x:v>10.1364/oe.585124</x:v>
      </x:c>
      <x:c r="M42" s="21" t="str">
        <x:v>RPT-SCR-00189-01</x:v>
      </x:c>
      <x:c r="N42" s="23" t="str">
        <x:v>1</x:v>
      </x:c>
      <x:c r="O42" s="23" t="str">
        <x:v>0</x:v>
      </x:c>
      <x:c r="P42" s="21" t="str">
        <x:v>RPT-SCR-00189-01</x:v>
      </x:c>
      <x:c r="Q42" s="23" t="str">
        <x:v>1</x:v>
      </x:c>
      <x:c r="R42" s="23" t="str">
        <x:v>13</x:v>
      </x:c>
      <x:c r="S42" s="23" t="str">
        <x:v>5</x:v>
      </x:c>
      <x:c r="T42" s="23" t="str">
        <x:v>1</x:v>
      </x:c>
      <x:c r="U42" s="23" t="str">
        <x:v>0</x:v>
      </x:c>
      <x:c r="V42" s="21" t="str"/>
      <x:c r="W42" s="21" t="str">
        <x:v>governed_eligible</x:v>
      </x:c>
      <x:c r="X42" s="21" t="str">
        <x:v>photonic_THz</x:v>
      </x:c>
      <x:c r="Y42" s="21" t="str">
        <x:v>shared_waveform; shared_hardware; shared_optical_carrier; shared_link_or_channel; joint_design_or_optimization</x:v>
      </x:c>
      <x:c r="Z42" s="21" t="str">
        <x:v>THz_PS16QAM_data_transmission; BPSK_data_transmission</x:v>
      </x:c>
      <x:c r="AA42" s="21" t="str">
        <x:v>vibration_sensing; anomaly_detection; structural_health_monitoring</x:v>
      </x:c>
      <x:c r="AB42" s="21" t="str">
        <x:v>5</x:v>
      </x:c>
      <x:c r="AC42" s="21" t="str">
        <x:v>analytical; dataset_based; laboratory_experiment; prototype_testbed; mixed</x:v>
      </x:c>
      <x:c r="AD42" s="21" t="str">
        <x:v>6G_access; industrial; smart_infrastructure</x:v>
      </x:c>
      <x:c r="AE42" s="21" t="str">
        <x:v>direct</x:v>
      </x:c>
    </x:row>
    <x:row r="43" ht="42" customHeight="1">
      <x:c r="A43" s="21" t="str">
        <x:v>STC-SINGLETON-SCR-00196</x:v>
      </x:c>
      <x:c r="B43" s="21" t="str">
        <x:v>SCR-00196</x:v>
      </x:c>
      <x:c r="C43" s="21" t="str">
        <x:v>OISAC_SCR00196</x:v>
      </x:c>
      <x:c r="D43" s="21" t="str">
        <x:v>OISAC_SCR00196</x:v>
      </x:c>
      <x:c r="E43" s="21" t="str"/>
      <x:c r="F43" s="21" t="str">
        <x:v>OISAC_SCR00196</x:v>
      </x:c>
      <x:c r="G43" s="21" t="str">
        <x:v>\cite{OISAC_SCR00196}</x:v>
      </x:c>
      <x:c r="H43" s="21" t="str">
        <x:v>Li et al. (2025)</x:v>
      </x:c>
      <x:c r="I43" s="21" t="str">
        <x:v>Adaptive visible light integrated sensing and communication for cable-free virtual reality</x:v>
      </x:c>
      <x:c r="J43" s="23" t="str">
        <x:v>2025</x:v>
      </x:c>
      <x:c r="K43" s="21" t="str">
        <x:v>Photonics Research</x:v>
      </x:c>
      <x:c r="L43" s="21" t="str">
        <x:v>10.1364/prj.561888</x:v>
      </x:c>
      <x:c r="M43" s="21" t="str">
        <x:v>RPT-SCR-00196-01</x:v>
      </x:c>
      <x:c r="N43" s="23" t="str">
        <x:v>1</x:v>
      </x:c>
      <x:c r="O43" s="23" t="str">
        <x:v>0</x:v>
      </x:c>
      <x:c r="P43" s="21" t="str">
        <x:v>RPT-SCR-00196-01</x:v>
      </x:c>
      <x:c r="Q43" s="23" t="str">
        <x:v>1</x:v>
      </x:c>
      <x:c r="R43" s="23" t="str">
        <x:v>61</x:v>
      </x:c>
      <x:c r="S43" s="23" t="str">
        <x:v>27</x:v>
      </x:c>
      <x:c r="T43" s="23" t="str">
        <x:v>3</x:v>
      </x:c>
      <x:c r="U43" s="23" t="str">
        <x:v>1</x:v>
      </x:c>
      <x:c r="V43" s="21" t="str"/>
      <x:c r="W43" s="21" t="str">
        <x:v>governed_eligible</x:v>
      </x:c>
      <x:c r="X43" s="21" t="str">
        <x:v>VLC_LiFi</x:v>
      </x:c>
      <x:c r="Y43" s="21" t="str">
        <x:v>shared_waveform; shared_hardware; shared_optical_carrier; shared_link_or_channel; joint_design_or_optimization</x:v>
      </x:c>
      <x:c r="Z43" s="21" t="str">
        <x:v>data_transmission; control_signaling</x:v>
      </x:c>
      <x:c r="AA43" s="21" t="str">
        <x:v>localization</x:v>
      </x:c>
      <x:c r="AB43" s="21" t="str">
        <x:v>5</x:v>
      </x:c>
      <x:c r="AC43" s="21" t="str">
        <x:v>laboratory_experiment; prototype_testbed</x:v>
      </x:c>
      <x:c r="AD43" s="21" t="str">
        <x:v>6G_access; indoor_positioning</x:v>
      </x:c>
      <x:c r="AE43" s="21" t="str">
        <x:v>direct</x:v>
      </x:c>
    </x:row>
    <x:row r="44" ht="42" customHeight="1">
      <x:c r="A44" s="21" t="str">
        <x:v>STC-SINGLETON-SCR-00210</x:v>
      </x:c>
      <x:c r="B44" s="21" t="str">
        <x:v>SCR-00210</x:v>
      </x:c>
      <x:c r="C44" s="21" t="str">
        <x:v>OISAC_SCR00210</x:v>
      </x:c>
      <x:c r="D44" s="21" t="str">
        <x:v>OISAC_SCR00210</x:v>
      </x:c>
      <x:c r="E44" s="21" t="str"/>
      <x:c r="F44" s="21" t="str">
        <x:v>OISAC_SCR00210</x:v>
      </x:c>
      <x:c r="G44" s="21" t="str">
        <x:v>\cite{OISAC_SCR00210}</x:v>
      </x:c>
      <x:c r="H44" s="21" t="str">
        <x:v>Tihomorskis et al. (2026)</x:v>
      </x:c>
      <x:c r="I44" s="21" t="str">
        <x:v>Software-Defined Radio Experimental Validation of an OTFS-Based ISAC for Velocity Estimation in an ARoF Setup</x:v>
      </x:c>
      <x:c r="J44" s="23" t="str">
        <x:v>2026</x:v>
      </x:c>
      <x:c r="K44" s="21" t="str">
        <x:v>Technologies</x:v>
      </x:c>
      <x:c r="L44" s="21" t="str">
        <x:v>10.3390/technologies14050262</x:v>
      </x:c>
      <x:c r="M44" s="21" t="str">
        <x:v>RPT-SCR-00210-01</x:v>
      </x:c>
      <x:c r="N44" s="23" t="str">
        <x:v>1</x:v>
      </x:c>
      <x:c r="O44" s="23" t="str">
        <x:v>0</x:v>
      </x:c>
      <x:c r="P44" s="21" t="str">
        <x:v>RPT-SCR-00210-01</x:v>
      </x:c>
      <x:c r="Q44" s="23" t="str">
        <x:v>1</x:v>
      </x:c>
      <x:c r="R44" s="23" t="str">
        <x:v>13</x:v>
      </x:c>
      <x:c r="S44" s="23" t="str">
        <x:v>7</x:v>
      </x:c>
      <x:c r="T44" s="23" t="str">
        <x:v>1</x:v>
      </x:c>
      <x:c r="U44" s="23" t="str">
        <x:v>0</x:v>
      </x:c>
      <x:c r="V44" s="21" t="str"/>
      <x:c r="W44" s="21" t="str">
        <x:v>governed_eligible</x:v>
      </x:c>
      <x:c r="X44" s="21" t="str">
        <x:v>hybrid_optical</x:v>
      </x:c>
      <x:c r="Y44" s="21" t="str">
        <x:v>shared_waveform; shared_hardware; shared_link_or_channel; joint_design_or_optimization</x:v>
      </x:c>
      <x:c r="Z44" s="21" t="str">
        <x:v>OTFS_QAM_data_transmission</x:v>
      </x:c>
      <x:c r="AA44" s="21" t="str">
        <x:v>velocity_estimation; movement_direction_detection; monostatic_radar</x:v>
      </x:c>
      <x:c r="AB44" s="21" t="str">
        <x:v>5</x:v>
      </x:c>
      <x:c r="AC44" s="21" t="str">
        <x:v>simulation; laboratory_experiment; prototype_testbed; mixed</x:v>
      </x:c>
      <x:c r="AD44" s="21" t="str">
        <x:v>6G_access; vehicular; industrial</x:v>
      </x:c>
      <x:c r="AE44" s="21" t="str">
        <x:v>direct</x:v>
      </x:c>
    </x:row>
    <x:row r="45" ht="42" customHeight="1">
      <x:c r="A45" s="21" t="str">
        <x:v>STC-SINGLETON-SCR-00218</x:v>
      </x:c>
      <x:c r="B45" s="21" t="str">
        <x:v>SCR-00218</x:v>
      </x:c>
      <x:c r="C45" s="21" t="str">
        <x:v>OISAC_SCR00218</x:v>
      </x:c>
      <x:c r="D45" s="21" t="str">
        <x:v>OISAC_SCR00218</x:v>
      </x:c>
      <x:c r="E45" s="21" t="str"/>
      <x:c r="F45" s="21" t="str">
        <x:v>OISAC_SCR00218</x:v>
      </x:c>
      <x:c r="G45" s="21" t="str">
        <x:v>\cite{OISAC_SCR00218}</x:v>
      </x:c>
      <x:c r="H45" s="21" t="str">
        <x:v>Urban et al. (2025)</x:v>
      </x:c>
      <x:c r="I45" s="21" t="str">
        <x:v>Parallel Path Effect-Free Remote Monitoring and Sensing in Live XGS-PON Using Legacy Optical Time Domain Reflectometry</x:v>
      </x:c>
      <x:c r="J45" s="23" t="str">
        <x:v>2025</x:v>
      </x:c>
      <x:c r="K45" s="21" t="str">
        <x:v>Journal of Lightwave Technology</x:v>
      </x:c>
      <x:c r="L45" s="21" t="str">
        <x:v>10.1109/jlt.2025.3563162</x:v>
      </x:c>
      <x:c r="M45" s="21" t="str">
        <x:v>RPT-SCR-00218-01</x:v>
      </x:c>
      <x:c r="N45" s="23" t="str">
        <x:v>1</x:v>
      </x:c>
      <x:c r="O45" s="23" t="str">
        <x:v>0</x:v>
      </x:c>
      <x:c r="P45" s="21" t="str">
        <x:v>RPT-SCR-00218-01</x:v>
      </x:c>
      <x:c r="Q45" s="23" t="str">
        <x:v>1</x:v>
      </x:c>
      <x:c r="R45" s="23" t="str">
        <x:v>13</x:v>
      </x:c>
      <x:c r="S45" s="23" t="str">
        <x:v>6</x:v>
      </x:c>
      <x:c r="T45" s="23" t="str">
        <x:v>1</x:v>
      </x:c>
      <x:c r="U45" s="23" t="str">
        <x:v>0</x:v>
      </x:c>
      <x:c r="V45" s="21" t="str"/>
      <x:c r="W45" s="21" t="str">
        <x:v>governed_eligible</x:v>
      </x:c>
      <x:c r="X45" s="21" t="str">
        <x:v>fiber</x:v>
      </x:c>
      <x:c r="Y45" s="21" t="str">
        <x:v>shared_hardware; shared_link_or_channel; shared_application_scenario</x:v>
      </x:c>
      <x:c r="Z45" s="21" t="str">
        <x:v>XGS_PON_data_transmission; network_access</x:v>
      </x:c>
      <x:c r="AA45" s="21" t="str">
        <x:v>fiber_fault_detection; fault_localization; localized_temperature_sensing; network_monitoring</x:v>
      </x:c>
      <x:c r="AB45" s="21" t="str">
        <x:v>5</x:v>
      </x:c>
      <x:c r="AC45" s="21" t="str">
        <x:v>analytical; numerical_analysis; laboratory_experiment; prototype_testbed</x:v>
      </x:c>
      <x:c r="AD45" s="21" t="str">
        <x:v>environment_monitoring; optical_access_network; smart_infrastructure</x:v>
      </x:c>
      <x:c r="AE45" s="21" t="str">
        <x:v>inferred</x:v>
      </x:c>
    </x:row>
    <x:row r="46" ht="42" customHeight="1">
      <x:c r="A46" s="21" t="str">
        <x:v>STC-SINGLETON-SCR-00233</x:v>
      </x:c>
      <x:c r="B46" s="21" t="str">
        <x:v>SCR-00233</x:v>
      </x:c>
      <x:c r="C46" s="21" t="str">
        <x:v>OISAC_SCR00233</x:v>
      </x:c>
      <x:c r="D46" s="21" t="str">
        <x:v>OISAC_SCR00233</x:v>
      </x:c>
      <x:c r="E46" s="21" t="str"/>
      <x:c r="F46" s="21" t="str">
        <x:v>OISAC_SCR00233</x:v>
      </x:c>
      <x:c r="G46" s="21" t="str">
        <x:v>\cite{OISAC_SCR00233}</x:v>
      </x:c>
      <x:c r="H46" s="21" t="str">
        <x:v>Zhou et al. (2026)</x:v>
      </x:c>
      <x:c r="I46" s="21" t="str">
        <x:v>Bi-LSTM-Transformer hybrid network for V2V optical wireless ISAC systems</x:v>
      </x:c>
      <x:c r="J46" s="23" t="str">
        <x:v>2026</x:v>
      </x:c>
      <x:c r="K46" s="21" t="str">
        <x:v>ICT Express</x:v>
      </x:c>
      <x:c r="L46" s="21" t="str">
        <x:v>10.1016/j.icte.2026.04.001</x:v>
      </x:c>
      <x:c r="M46" s="21" t="str">
        <x:v>RPT-SCR-00233-01</x:v>
      </x:c>
      <x:c r="N46" s="23" t="str">
        <x:v>1</x:v>
      </x:c>
      <x:c r="O46" s="23" t="str">
        <x:v>0</x:v>
      </x:c>
      <x:c r="P46" s="21" t="str">
        <x:v>RPT-SCR-00233-01</x:v>
      </x:c>
      <x:c r="Q46" s="23" t="str">
        <x:v>1</x:v>
      </x:c>
      <x:c r="R46" s="23" t="str">
        <x:v>10</x:v>
      </x:c>
      <x:c r="S46" s="23" t="str">
        <x:v>16</x:v>
      </x:c>
      <x:c r="T46" s="23" t="str">
        <x:v>1</x:v>
      </x:c>
      <x:c r="U46" s="23" t="str">
        <x:v>0</x:v>
      </x:c>
      <x:c r="V46" s="21" t="str"/>
      <x:c r="W46" s="21" t="str">
        <x:v>governed_eligible</x:v>
      </x:c>
      <x:c r="X46" s="21" t="str">
        <x:v>FSO</x:v>
      </x:c>
      <x:c r="Y46" s="21" t="str">
        <x:v>shared_waveform; shared_hardware; shared_optical_carrier; shared_link_or_channel; joint_design_or_optimization</x:v>
      </x:c>
      <x:c r="Z46" s="21" t="str">
        <x:v>data_transmission; signal_detection</x:v>
      </x:c>
      <x:c r="AA46" s="21" t="str">
        <x:v>range_sensing; velocity_sensing; target_detection</x:v>
      </x:c>
      <x:c r="AB46" s="21" t="str">
        <x:v>2</x:v>
      </x:c>
      <x:c r="AC46" s="21" t="str">
        <x:v>simulation</x:v>
      </x:c>
      <x:c r="AD46" s="21" t="str">
        <x:v>vehicular; aerospace</x:v>
      </x:c>
      <x:c r="AE46" s="21" t="str">
        <x:v>direct</x:v>
      </x:c>
    </x:row>
    <x:row r="47" ht="42" customHeight="1">
      <x:c r="A47" s="21" t="str">
        <x:v>STC-SINGLETON-SCR-00238</x:v>
      </x:c>
      <x:c r="B47" s="21" t="str">
        <x:v>SCR-00238</x:v>
      </x:c>
      <x:c r="C47" s="21" t="str">
        <x:v>OISAC_SCR00238</x:v>
      </x:c>
      <x:c r="D47" s="21" t="str">
        <x:v>OISAC_SCR00238</x:v>
      </x:c>
      <x:c r="E47" s="21" t="str"/>
      <x:c r="F47" s="21" t="str">
        <x:v>OISAC_SCR00238</x:v>
      </x:c>
      <x:c r="G47" s="21" t="str">
        <x:v>\cite{OISAC_SCR00238}</x:v>
      </x:c>
      <x:c r="H47" s="21" t="str">
        <x:v>Shen et al. (2026)</x:v>
      </x:c>
      <x:c r="I47" s="21" t="str">
        <x:v>Multi-service integrated sensing and communication system for industrial internet-of-things</x:v>
      </x:c>
      <x:c r="J47" s="23" t="str">
        <x:v>2026</x:v>
      </x:c>
      <x:c r="K47" s="21" t="str">
        <x:v>Optics and Lasers in Engineering</x:v>
      </x:c>
      <x:c r="L47" s="21" t="str">
        <x:v>10.1016/j.optlaseng.2025.109470</x:v>
      </x:c>
      <x:c r="M47" s="21" t="str">
        <x:v>RPT-SCR-00238-01</x:v>
      </x:c>
      <x:c r="N47" s="23" t="str">
        <x:v>1</x:v>
      </x:c>
      <x:c r="O47" s="23" t="str">
        <x:v>0</x:v>
      </x:c>
      <x:c r="P47" s="21" t="str">
        <x:v>RPT-SCR-00238-01</x:v>
      </x:c>
      <x:c r="Q47" s="23" t="str">
        <x:v>1</x:v>
      </x:c>
      <x:c r="R47" s="23" t="str">
        <x:v>10</x:v>
      </x:c>
      <x:c r="S47" s="23" t="str">
        <x:v>14</x:v>
      </x:c>
      <x:c r="T47" s="23" t="str">
        <x:v>2</x:v>
      </x:c>
      <x:c r="U47" s="23" t="str">
        <x:v>3</x:v>
      </x:c>
      <x:c r="V47" s="21" t="str"/>
      <x:c r="W47" s="21" t="str">
        <x:v>governed_eligible</x:v>
      </x:c>
      <x:c r="X47" s="21" t="str">
        <x:v>fiber</x:v>
      </x:c>
      <x:c r="Y47" s="21" t="str">
        <x:v>shared_waveform; shared_hardware; shared_optical_carrier; shared_link_or_channel; shared_application_scenario</x:v>
      </x:c>
      <x:c r="Z47" s="21" t="str">
        <x:v>multi_service_data_transmission</x:v>
      </x:c>
      <x:c r="AA47" s="21" t="str">
        <x:v>vibration_detection; vibration_frequency_estimation; vibration_localization; intrusion_monitoring</x:v>
      </x:c>
      <x:c r="AB47" s="21" t="str">
        <x:v>5</x:v>
      </x:c>
      <x:c r="AC47" s="21" t="str">
        <x:v>laboratory_experiment; prototype_testbed</x:v>
      </x:c>
      <x:c r="AD47" s="21" t="str">
        <x:v>industrial; security; environment_monitoring; optical_access_network</x:v>
      </x:c>
      <x:c r="AE47" s="21" t="str">
        <x:v>inferred</x:v>
      </x:c>
    </x:row>
    <x:row r="48" ht="42" customHeight="1">
      <x:c r="A48" s="21" t="str">
        <x:v>STC-SINGLETON-SCR-00256</x:v>
      </x:c>
      <x:c r="B48" s="21" t="str">
        <x:v>SCR-00256</x:v>
      </x:c>
      <x:c r="C48" s="21" t="str">
        <x:v>OISAC_SCR00256</x:v>
      </x:c>
      <x:c r="D48" s="21" t="str">
        <x:v>OISAC_SCR00256</x:v>
      </x:c>
      <x:c r="E48" s="21" t="str"/>
      <x:c r="F48" s="21" t="str">
        <x:v>OISAC_SCR00256</x:v>
      </x:c>
      <x:c r="G48" s="21" t="str">
        <x:v>\cite{OISAC_SCR00256}</x:v>
      </x:c>
      <x:c r="H48" s="21" t="str">
        <x:v>Shi et al. (2025)</x:v>
      </x:c>
      <x:c r="I48" s="21" t="str">
        <x:v>OCDM Integrated LiDAR and Communication System for UAVs</x:v>
      </x:c>
      <x:c r="J48" s="23" t="str">
        <x:v>2025</x:v>
      </x:c>
      <x:c r="K48" s="21" t="str">
        <x:v>2025 13th International Conference on Information and Communication Networks, ICICN 2025</x:v>
      </x:c>
      <x:c r="L48" s="21" t="str">
        <x:v>10.1109/icicn67355.2025.11430473</x:v>
      </x:c>
      <x:c r="M48" s="21" t="str">
        <x:v>RPT-SCR-00256-01</x:v>
      </x:c>
      <x:c r="N48" s="23" t="str">
        <x:v>1</x:v>
      </x:c>
      <x:c r="O48" s="23" t="str">
        <x:v>0</x:v>
      </x:c>
      <x:c r="P48" s="21" t="str">
        <x:v>RPT-SCR-00256-01</x:v>
      </x:c>
      <x:c r="Q48" s="23" t="str">
        <x:v>1</x:v>
      </x:c>
      <x:c r="R48" s="23" t="str">
        <x:v>8</x:v>
      </x:c>
      <x:c r="S48" s="23" t="str">
        <x:v>4</x:v>
      </x:c>
      <x:c r="T48" s="23" t="str">
        <x:v>0</x:v>
      </x:c>
      <x:c r="U48" s="23" t="str">
        <x:v>0</x:v>
      </x:c>
      <x:c r="V48" s="21" t="str"/>
      <x:c r="W48" s="21" t="str">
        <x:v>governed_eligible</x:v>
      </x:c>
      <x:c r="X48" s="21" t="str">
        <x:v>FSO</x:v>
      </x:c>
      <x:c r="Y48" s="21" t="str">
        <x:v>shared_waveform; shared_hardware; shared_optical_carrier; shared_link_or_channel; joint_design_or_optimization</x:v>
      </x:c>
      <x:c r="Z48" s="21" t="str">
        <x:v>data_transmission</x:v>
      </x:c>
      <x:c r="AA48" s="21" t="str">
        <x:v>LiDAR_target_detection; range_Doppler_sensing</x:v>
      </x:c>
      <x:c r="AB48" s="21" t="str">
        <x:v>2</x:v>
      </x:c>
      <x:c r="AC48" s="21" t="str">
        <x:v>analytical; simulation</x:v>
      </x:c>
      <x:c r="AD48" s="21" t="str">
        <x:v>aerospace</x:v>
      </x:c>
      <x:c r="AE48" s="21" t="str">
        <x:v>inferred</x:v>
      </x:c>
    </x:row>
    <x:row r="49" ht="42" customHeight="1">
      <x:c r="A49" s="21" t="str">
        <x:v>STC-SINGLETON-SCR-00268</x:v>
      </x:c>
      <x:c r="B49" s="21" t="str">
        <x:v>SCR-00268</x:v>
      </x:c>
      <x:c r="C49" s="21" t="str">
        <x:v>OISAC_SCR00268</x:v>
      </x:c>
      <x:c r="D49" s="21" t="str">
        <x:v>OISAC_SCR00268</x:v>
      </x:c>
      <x:c r="E49" s="21" t="str"/>
      <x:c r="F49" s="21" t="str">
        <x:v>OISAC_SCR00268</x:v>
      </x:c>
      <x:c r="G49" s="21" t="str">
        <x:v>\cite{OISAC_SCR00268}</x:v>
      </x:c>
      <x:c r="H49" s="21" t="str">
        <x:v>Song et al. (2026)</x:v>
      </x:c>
      <x:c r="I49" s="21" t="str">
        <x:v>Full dimensional control of structured microwaves based on microcombs</x:v>
      </x:c>
      <x:c r="J49" s="23" t="str">
        <x:v>2026</x:v>
      </x:c>
      <x:c r="K49" s="21" t="str">
        <x:v>Nature Photonics</x:v>
      </x:c>
      <x:c r="L49" s="21" t="str">
        <x:v>10.1038/s41566-026-01843-0</x:v>
      </x:c>
      <x:c r="M49" s="21" t="str">
        <x:v>RPT-SCR-00268-01</x:v>
      </x:c>
      <x:c r="N49" s="23" t="str">
        <x:v>1</x:v>
      </x:c>
      <x:c r="O49" s="23" t="str">
        <x:v>0</x:v>
      </x:c>
      <x:c r="P49" s="21" t="str">
        <x:v>RPT-SCR-00268-01</x:v>
      </x:c>
      <x:c r="Q49" s="23" t="str">
        <x:v>1</x:v>
      </x:c>
      <x:c r="R49" s="23" t="str">
        <x:v>14</x:v>
      </x:c>
      <x:c r="S49" s="23" t="str">
        <x:v>14</x:v>
      </x:c>
      <x:c r="T49" s="23" t="str">
        <x:v>0</x:v>
      </x:c>
      <x:c r="U49" s="23" t="str">
        <x:v>0</x:v>
      </x:c>
      <x:c r="V49" s="21" t="str"/>
      <x:c r="W49" s="21" t="str">
        <x:v>governed_eligible</x:v>
      </x:c>
      <x:c r="X49" s="21" t="str">
        <x:v>other_optical</x:v>
      </x:c>
      <x:c r="Y49" s="21" t="str">
        <x:v>shared_hardware; shared_application_scenario</x:v>
      </x:c>
      <x:c r="Z49" s="21" t="str">
        <x:v>data_transmission</x:v>
      </x:c>
      <x:c r="AA49" s="21" t="str">
        <x:v>ranging; imaging; motion_pose_gesture; detection</x:v>
      </x:c>
      <x:c r="AB49" s="21" t="str">
        <x:v>5</x:v>
      </x:c>
      <x:c r="AC49" s="21" t="str">
        <x:v>numerical_analysis; laboratory_experiment; prototype_testbed</x:v>
      </x:c>
      <x:c r="AD49" s="21" t="str">
        <x:v>6G_access; security; aerospace</x:v>
      </x:c>
      <x:c r="AE49" s="21" t="str">
        <x:v>direct</x:v>
      </x:c>
    </x:row>
    <x:row r="50" ht="42" customHeight="1">
      <x:c r="A50" s="21" t="str">
        <x:v>STC-SINGLETON-SCR-00273</x:v>
      </x:c>
      <x:c r="B50" s="21" t="str">
        <x:v>SCR-00273</x:v>
      </x:c>
      <x:c r="C50" s="21" t="str">
        <x:v>OISAC_SCR00273</x:v>
      </x:c>
      <x:c r="D50" s="21" t="str">
        <x:v>OISAC_SCR00273</x:v>
      </x:c>
      <x:c r="E50" s="21" t="str"/>
      <x:c r="F50" s="21" t="str">
        <x:v>OISAC_SCR00273</x:v>
      </x:c>
      <x:c r="G50" s="21" t="str">
        <x:v>\cite{OISAC_SCR00273}</x:v>
      </x:c>
      <x:c r="H50" s="21" t="str">
        <x:v>Dong et al. (2025)</x:v>
      </x:c>
      <x:c r="I50" s="21" t="str">
        <x:v>Optical Camera-Based Integrated Sensing and Communication for V2X Applications: Model and Optimization</x:v>
      </x:c>
      <x:c r="J50" s="23" t="str">
        <x:v>2025</x:v>
      </x:c>
      <x:c r="K50" s="21" t="str">
        <x:v>Sensors</x:v>
      </x:c>
      <x:c r="L50" s="21" t="str">
        <x:v>10.3390/s25227061</x:v>
      </x:c>
      <x:c r="M50" s="21" t="str">
        <x:v>RPT-SCR-00273-01</x:v>
      </x:c>
      <x:c r="N50" s="23" t="str">
        <x:v>1</x:v>
      </x:c>
      <x:c r="O50" s="23" t="str">
        <x:v>0</x:v>
      </x:c>
      <x:c r="P50" s="21" t="str">
        <x:v>RPT-SCR-00273-01</x:v>
      </x:c>
      <x:c r="Q50" s="23" t="str">
        <x:v>1</x:v>
      </x:c>
      <x:c r="R50" s="23" t="str">
        <x:v>14</x:v>
      </x:c>
      <x:c r="S50" s="23" t="str">
        <x:v>6</x:v>
      </x:c>
      <x:c r="T50" s="23" t="str">
        <x:v>2</x:v>
      </x:c>
      <x:c r="U50" s="23" t="str">
        <x:v>0</x:v>
      </x:c>
      <x:c r="V50" s="21" t="str"/>
      <x:c r="W50" s="21" t="str">
        <x:v>governed_eligible</x:v>
      </x:c>
      <x:c r="X50" s="21" t="str">
        <x:v>VLC_LiFi</x:v>
      </x:c>
      <x:c r="Y50" s="21" t="str">
        <x:v>shared_hardware; shared_resource_allocation; joint_design_or_optimization; shared_application_scenario</x:v>
      </x:c>
      <x:c r="Z50" s="21" t="str">
        <x:v>data_transmission</x:v>
      </x:c>
      <x:c r="AA50" s="21" t="str">
        <x:v>environmental_perception; monitoring; localization</x:v>
      </x:c>
      <x:c r="AB50" s="21" t="str">
        <x:v>5</x:v>
      </x:c>
      <x:c r="AC50" s="21" t="str">
        <x:v>analytical; numerical_analysis; laboratory_experiment; prototype_testbed</x:v>
      </x:c>
      <x:c r="AD50" s="21" t="str">
        <x:v>6G_access; vehicular; smart_infrastructure</x:v>
      </x:c>
      <x:c r="AE50" s="21" t="str">
        <x:v>direct</x:v>
      </x:c>
    </x:row>
    <x:row r="51" ht="42" customHeight="1">
      <x:c r="A51" s="21" t="str">
        <x:v>STC-SINGLETON-SCR-00274</x:v>
      </x:c>
      <x:c r="B51" s="21" t="str">
        <x:v>SCR-00274</x:v>
      </x:c>
      <x:c r="C51" s="21" t="str">
        <x:v>OISAC_SCR00274</x:v>
      </x:c>
      <x:c r="D51" s="21" t="str">
        <x:v>OISAC_SCR00274</x:v>
      </x:c>
      <x:c r="E51" s="21" t="str"/>
      <x:c r="F51" s="21" t="str">
        <x:v>OISAC_SCR00274</x:v>
      </x:c>
      <x:c r="G51" s="21" t="str">
        <x:v>\cite{OISAC_SCR00274}</x:v>
      </x:c>
      <x:c r="H51" s="21" t="str">
        <x:v>Deng et al. (2025)</x:v>
      </x:c>
      <x:c r="I51" s="21" t="str">
        <x:v>A Unified OFDM-ISAC Signal Generation Architecture in W-Band via Photonics-Aided Frequency Multiplication and Phase Noise Mitigation</x:v>
      </x:c>
      <x:c r="J51" s="23" t="str">
        <x:v>2025</x:v>
      </x:c>
      <x:c r="K51" s="21" t="str">
        <x:v>Photonics</x:v>
      </x:c>
      <x:c r="L51" s="21" t="str">
        <x:v>10.3390/photonics12111052</x:v>
      </x:c>
      <x:c r="M51" s="21" t="str">
        <x:v>RPT-SCR-00274-01</x:v>
      </x:c>
      <x:c r="N51" s="23" t="str">
        <x:v>1</x:v>
      </x:c>
      <x:c r="O51" s="23" t="str">
        <x:v>0</x:v>
      </x:c>
      <x:c r="P51" s="21" t="str">
        <x:v>RPT-SCR-00274-01</x:v>
      </x:c>
      <x:c r="Q51" s="23" t="str">
        <x:v>1</x:v>
      </x:c>
      <x:c r="R51" s="23" t="str">
        <x:v>14</x:v>
      </x:c>
      <x:c r="S51" s="23" t="str">
        <x:v>9</x:v>
      </x:c>
      <x:c r="T51" s="23" t="str">
        <x:v>1</x:v>
      </x:c>
      <x:c r="U51" s="23" t="str">
        <x:v>0</x:v>
      </x:c>
      <x:c r="V51" s="21" t="str"/>
      <x:c r="W51" s="21" t="str">
        <x:v>governed_eligible</x:v>
      </x:c>
      <x:c r="X51" s="21" t="str">
        <x:v>photonic_THz</x:v>
      </x:c>
      <x:c r="Y51" s="21" t="str">
        <x:v>shared_waveform; shared_hardware; shared_resource_allocation; joint_design_or_optimization</x:v>
      </x:c>
      <x:c r="Z51" s="21" t="str">
        <x:v>data_transmission; channel_estimation</x:v>
      </x:c>
      <x:c r="AA51" s="21" t="str">
        <x:v>ranging; detection; imaging</x:v>
      </x:c>
      <x:c r="AB51" s="21" t="str">
        <x:v>2</x:v>
      </x:c>
      <x:c r="AC51" s="21" t="str">
        <x:v>analytical; numerical_analysis; simulation</x:v>
      </x:c>
      <x:c r="AD51" s="21" t="str">
        <x:v>6G_access; vehicular; industrial; aerospace</x:v>
      </x:c>
      <x:c r="AE51" s="21" t="str">
        <x:v>direct</x:v>
      </x:c>
    </x:row>
    <x:row r="52" ht="42" customHeight="1">
      <x:c r="A52" s="21" t="str">
        <x:v>STC-SINGLETON-SCR-00277</x:v>
      </x:c>
      <x:c r="B52" s="21" t="str">
        <x:v>SCR-00277</x:v>
      </x:c>
      <x:c r="C52" s="21" t="str">
        <x:v>OISAC_SCR00277</x:v>
      </x:c>
      <x:c r="D52" s="21" t="str">
        <x:v>OISAC_SCR00277</x:v>
      </x:c>
      <x:c r="E52" s="21" t="str"/>
      <x:c r="F52" s="21" t="str">
        <x:v>OISAC_SCR00277</x:v>
      </x:c>
      <x:c r="G52" s="21" t="str">
        <x:v>\cite{OISAC_SCR00277}</x:v>
      </x:c>
      <x:c r="H52" s="21" t="str">
        <x:v>Arunachalam et al. (2025)</x:v>
      </x:c>
      <x:c r="I52" s="21" t="str">
        <x:v>Towards last-mile connectivity in 6G-IoT: An integrated MIMO-FSO communication system and FBG sensors under atmospheric attenuations, strain and temperature effects</x:v>
      </x:c>
      <x:c r="J52" s="23" t="str">
        <x:v>2025</x:v>
      </x:c>
      <x:c r="K52" s="21" t="str">
        <x:v>Engineering Science and Technology, an International Journal</x:v>
      </x:c>
      <x:c r="L52" s="21" t="str">
        <x:v>10.1016/j.jestch.2025.101958</x:v>
      </x:c>
      <x:c r="M52" s="21" t="str">
        <x:v>RPT-SCR-00277-01</x:v>
      </x:c>
      <x:c r="N52" s="23" t="str">
        <x:v>1</x:v>
      </x:c>
      <x:c r="O52" s="23" t="str">
        <x:v>0</x:v>
      </x:c>
      <x:c r="P52" s="21" t="str">
        <x:v>RPT-SCR-00277-01</x:v>
      </x:c>
      <x:c r="Q52" s="23" t="str">
        <x:v>1</x:v>
      </x:c>
      <x:c r="R52" s="23" t="str">
        <x:v>15</x:v>
      </x:c>
      <x:c r="S52" s="23" t="str">
        <x:v>8</x:v>
      </x:c>
      <x:c r="T52" s="23" t="str">
        <x:v>0</x:v>
      </x:c>
      <x:c r="U52" s="23" t="str">
        <x:v>0</x:v>
      </x:c>
      <x:c r="V52" s="21" t="str"/>
      <x:c r="W52" s="21" t="str">
        <x:v>governed_eligible</x:v>
      </x:c>
      <x:c r="X52" s="21" t="str">
        <x:v>hybrid_optical</x:v>
      </x:c>
      <x:c r="Y52" s="21" t="str">
        <x:v>shared_hardware; shared_link_or_channel; joint_design_or_optimization; shared_application_scenario</x:v>
      </x:c>
      <x:c r="Z52" s="21" t="str">
        <x:v>data_transmission</x:v>
      </x:c>
      <x:c r="AA52" s="21" t="str">
        <x:v>environmental_perception; monitoring; channel_sensing</x:v>
      </x:c>
      <x:c r="AB52" s="21" t="str">
        <x:v>2</x:v>
      </x:c>
      <x:c r="AC52" s="21" t="str">
        <x:v>analytical; numerical_analysis; simulation</x:v>
      </x:c>
      <x:c r="AD52" s="21" t="str">
        <x:v>6G_access; industrial; environment_monitoring; smart_infrastructure</x:v>
      </x:c>
      <x:c r="AE52" s="21" t="str">
        <x:v>direct</x:v>
      </x:c>
    </x:row>
    <x:row r="53" ht="42" customHeight="1">
      <x:c r="A53" s="21" t="str">
        <x:v>STC-SINGLETON-SCR-00278</x:v>
      </x:c>
      <x:c r="B53" s="21" t="str">
        <x:v>SCR-00278</x:v>
      </x:c>
      <x:c r="C53" s="21" t="str">
        <x:v>OISAC_SCR00278</x:v>
      </x:c>
      <x:c r="D53" s="21" t="str">
        <x:v>OISAC_SCR00278</x:v>
      </x:c>
      <x:c r="E53" s="21" t="str"/>
      <x:c r="F53" s="21" t="str">
        <x:v>OISAC_SCR00278</x:v>
      </x:c>
      <x:c r="G53" s="21" t="str">
        <x:v>\cite{OISAC_SCR00278}</x:v>
      </x:c>
      <x:c r="H53" s="21" t="str">
        <x:v>Hu et al. (2025)</x:v>
      </x:c>
      <x:c r="I53" s="21" t="str">
        <x:v>Demonstration of High Sensitivity Detection and High Precision Localization of Vibrations in Bidirectional Coherent Transmission Systems Enabled by Carrier Laser Phase Noise Retrieval</x:v>
      </x:c>
      <x:c r="J53" s="23" t="str">
        <x:v>2025</x:v>
      </x:c>
      <x:c r="K53" s="21" t="str">
        <x:v>Journal of Lightwave Technology</x:v>
      </x:c>
      <x:c r="L53" s="21" t="str">
        <x:v>10.1109/jlt.2025.3593142</x:v>
      </x:c>
      <x:c r="M53" s="21" t="str">
        <x:v>RPT-SCR-00278-01</x:v>
      </x:c>
      <x:c r="N53" s="23" t="str">
        <x:v>1</x:v>
      </x:c>
      <x:c r="O53" s="23" t="str">
        <x:v>0</x:v>
      </x:c>
      <x:c r="P53" s="21" t="str">
        <x:v>RPT-SCR-00278-01</x:v>
      </x:c>
      <x:c r="Q53" s="23" t="str">
        <x:v>1</x:v>
      </x:c>
      <x:c r="R53" s="23" t="str">
        <x:v>14</x:v>
      </x:c>
      <x:c r="S53" s="23" t="str">
        <x:v>8</x:v>
      </x:c>
      <x:c r="T53" s="23" t="str">
        <x:v>2</x:v>
      </x:c>
      <x:c r="U53" s="23" t="str">
        <x:v>0</x:v>
      </x:c>
      <x:c r="V53" s="21" t="str"/>
      <x:c r="W53" s="21" t="str">
        <x:v>governed_eligible</x:v>
      </x:c>
      <x:c r="X53" s="21" t="str">
        <x:v>fiber</x:v>
      </x:c>
      <x:c r="Y53" s="21" t="str">
        <x:v>shared_waveform; shared_hardware; shared_optical_carrier; shared_link_or_channel; joint_design_or_optimization</x:v>
      </x:c>
      <x:c r="Z53" s="21" t="str">
        <x:v>coherent_16QAM_data_transmission</x:v>
      </x:c>
      <x:c r="AA53" s="21" t="str">
        <x:v>forward_phase_vibration_sensing; localization; fiber_tampering_detection; monitoring</x:v>
      </x:c>
      <x:c r="AB53" s="21" t="str">
        <x:v>5</x:v>
      </x:c>
      <x:c r="AC53" s="21" t="str">
        <x:v>laboratory_experiment; prototype_testbed</x:v>
      </x:c>
      <x:c r="AD53" s="21" t="str">
        <x:v>industrial; security; optical_access_network; smart_infrastructure</x:v>
      </x:c>
      <x:c r="AE53" s="21" t="str">
        <x:v>inferred</x:v>
      </x:c>
    </x:row>
    <x:row r="54" ht="42" customHeight="1">
      <x:c r="A54" s="21" t="str">
        <x:v>STC-SINGLETON-SCR-00294</x:v>
      </x:c>
      <x:c r="B54" s="21" t="str">
        <x:v>SCR-00294</x:v>
      </x:c>
      <x:c r="C54" s="21" t="str">
        <x:v>OISAC_SCR00294</x:v>
      </x:c>
      <x:c r="D54" s="21" t="str">
        <x:v>OISAC_SCR00294</x:v>
      </x:c>
      <x:c r="E54" s="21" t="str"/>
      <x:c r="F54" s="21" t="str">
        <x:v>OISAC_SCR00294</x:v>
      </x:c>
      <x:c r="G54" s="21" t="str">
        <x:v>\cite{OISAC_SCR00294}</x:v>
      </x:c>
      <x:c r="H54" s="21" t="str">
        <x:v>Jiang et al. (2025)</x:v>
      </x:c>
      <x:c r="I54" s="21" t="str">
        <x:v>Optoelectronic integrated sensing and communication system based on InGaN/GaN MQW for wireless detection of air pressure</x:v>
      </x:c>
      <x:c r="J54" s="23" t="str">
        <x:v>2025</x:v>
      </x:c>
      <x:c r="K54" s="21" t="str">
        <x:v>Sensors and Actuators A: Physical</x:v>
      </x:c>
      <x:c r="L54" s="21" t="str">
        <x:v>10.1016/j.sna.2025.117086</x:v>
      </x:c>
      <x:c r="M54" s="21" t="str">
        <x:v>RPT-SCR-00294-01</x:v>
      </x:c>
      <x:c r="N54" s="23" t="str">
        <x:v>1</x:v>
      </x:c>
      <x:c r="O54" s="23" t="str">
        <x:v>0</x:v>
      </x:c>
      <x:c r="P54" s="21" t="str">
        <x:v>RPT-SCR-00294-01</x:v>
      </x:c>
      <x:c r="Q54" s="23" t="str">
        <x:v>1</x:v>
      </x:c>
      <x:c r="R54" s="23" t="str">
        <x:v>13</x:v>
      </x:c>
      <x:c r="S54" s="23" t="str">
        <x:v>9</x:v>
      </x:c>
      <x:c r="T54" s="23" t="str">
        <x:v>0</x:v>
      </x:c>
      <x:c r="U54" s="23" t="str">
        <x:v>0</x:v>
      </x:c>
      <x:c r="V54" s="21" t="str"/>
      <x:c r="W54" s="21" t="str">
        <x:v>governed_eligible</x:v>
      </x:c>
      <x:c r="X54" s="21" t="str">
        <x:v>VLC_LiFi</x:v>
      </x:c>
      <x:c r="Y54" s="21" t="str">
        <x:v>shared_hardware; joint_design_or_optimization; shared_application_scenario</x:v>
      </x:c>
      <x:c r="Z54" s="21" t="str">
        <x:v>visible_light_pressure_telemetry; data_transmission</x:v>
      </x:c>
      <x:c r="AA54" s="21" t="str">
        <x:v>air_pressure_sensing</x:v>
      </x:c>
      <x:c r="AB54" s="21" t="str">
        <x:v>5</x:v>
      </x:c>
      <x:c r="AC54" s="21" t="str">
        <x:v>laboratory_experiment; prototype_testbed</x:v>
      </x:c>
      <x:c r="AD54" s="21" t="str">
        <x:v>industrial; environment_monitoring; healthcare</x:v>
      </x:c>
      <x:c r="AE54" s="21" t="str">
        <x:v>not_applicable</x:v>
      </x:c>
    </x:row>
    <x:row r="55" ht="42" customHeight="1">
      <x:c r="A55" s="21" t="str">
        <x:v>STC-SINGLETON-SCR-00312</x:v>
      </x:c>
      <x:c r="B55" s="21" t="str">
        <x:v>SCR-00312</x:v>
      </x:c>
      <x:c r="C55" s="21" t="str">
        <x:v>OISAC_SCR00312</x:v>
      </x:c>
      <x:c r="D55" s="21" t="str">
        <x:v>OISAC_SCR00312</x:v>
      </x:c>
      <x:c r="E55" s="21" t="str"/>
      <x:c r="F55" s="21" t="str">
        <x:v>OISAC_SCR00312</x:v>
      </x:c>
      <x:c r="G55" s="21" t="str">
        <x:v>\cite{OISAC_SCR00312}</x:v>
      </x:c>
      <x:c r="H55" s="21" t="str">
        <x:v>Lei et al. (2025)</x:v>
      </x:c>
      <x:c r="I55" s="21" t="str">
        <x:v>Photonics-Aided THz ISAC System Based on A Spectral Overlapping Multi-Carrier 16QAM-LFM Waveform</x:v>
      </x:c>
      <x:c r="J55" s="23" t="str">
        <x:v>2025</x:v>
      </x:c>
      <x:c r="K55" s="21" t="str">
        <x:v>2025 Optical Fiber Communications Conference and Exhibition, OFC 2025 - Proceedings</x:v>
      </x:c>
      <x:c r="L55" s="21" t="str">
        <x:v>10.1364/ofc.2025.th2a.27</x:v>
      </x:c>
      <x:c r="M55" s="21" t="str">
        <x:v>RPT-SCR-00312-01</x:v>
      </x:c>
      <x:c r="N55" s="23" t="str">
        <x:v>1</x:v>
      </x:c>
      <x:c r="O55" s="23" t="str">
        <x:v>0</x:v>
      </x:c>
      <x:c r="P55" s="21" t="str">
        <x:v>RPT-SCR-00312-01</x:v>
      </x:c>
      <x:c r="Q55" s="23" t="str">
        <x:v>1</x:v>
      </x:c>
      <x:c r="R55" s="23" t="str">
        <x:v>10</x:v>
      </x:c>
      <x:c r="S55" s="23" t="str">
        <x:v>8</x:v>
      </x:c>
      <x:c r="T55" s="23" t="str">
        <x:v>1</x:v>
      </x:c>
      <x:c r="U55" s="23" t="str">
        <x:v>0</x:v>
      </x:c>
      <x:c r="V55" s="21" t="str"/>
      <x:c r="W55" s="21" t="str">
        <x:v>governed_eligible</x:v>
      </x:c>
      <x:c r="X55" s="21" t="str">
        <x:v>photonic_THz</x:v>
      </x:c>
      <x:c r="Y55" s="21" t="str">
        <x:v>shared_waveform; shared_hardware; shared_optical_carrier; shared_resource_allocation; joint_design_or_optimization</x:v>
      </x:c>
      <x:c r="Z55" s="21" t="str">
        <x:v>THz_16QAM_data_transmission</x:v>
      </x:c>
      <x:c r="AA55" s="21" t="str">
        <x:v>multi_target_ranging; radial_resolution</x:v>
      </x:c>
      <x:c r="AB55" s="21" t="str">
        <x:v>5</x:v>
      </x:c>
      <x:c r="AC55" s="21" t="str">
        <x:v>laboratory_experiment; prototype_testbed</x:v>
      </x:c>
      <x:c r="AD55" s="21" t="str">
        <x:v>6G_access; smart_infrastructure</x:v>
      </x:c>
      <x:c r="AE55" s="21" t="str">
        <x:v>direct</x:v>
      </x:c>
    </x:row>
    <x:row r="56" ht="42" customHeight="1">
      <x:c r="A56" s="21" t="str">
        <x:v>STC-SINGLETON-SCR-00344</x:v>
      </x:c>
      <x:c r="B56" s="21" t="str">
        <x:v>SCR-00344</x:v>
      </x:c>
      <x:c r="C56" s="21" t="str">
        <x:v>OISAC_SCR00344</x:v>
      </x:c>
      <x:c r="D56" s="21" t="str">
        <x:v>OISAC_SCR00344</x:v>
      </x:c>
      <x:c r="E56" s="21" t="str"/>
      <x:c r="F56" s="21" t="str">
        <x:v>OISAC_SCR00344</x:v>
      </x:c>
      <x:c r="G56" s="21" t="str">
        <x:v>\cite{OISAC_SCR00344}</x:v>
      </x:c>
      <x:c r="H56" s="21" t="str">
        <x:v>Gu et al. (2025)</x:v>
      </x:c>
      <x:c r="I56" s="21" t="str">
        <x:v>Co-wavelength-channel integration of ultra-low-frequency distributed acoustic sensing and high-capacity communication</x:v>
      </x:c>
      <x:c r="J56" s="23" t="str">
        <x:v>2025</x:v>
      </x:c>
      <x:c r="K56" s="21" t="str">
        <x:v>Photonics Research</x:v>
      </x:c>
      <x:c r="L56" s="21" t="str">
        <x:v>10.1364/prj.551958</x:v>
      </x:c>
      <x:c r="M56" s="21" t="str">
        <x:v>RPT-SCR-00344-01</x:v>
      </x:c>
      <x:c r="N56" s="23" t="str">
        <x:v>1</x:v>
      </x:c>
      <x:c r="O56" s="23" t="str">
        <x:v>0</x:v>
      </x:c>
      <x:c r="P56" s="21" t="str">
        <x:v>RPT-SCR-00344-01</x:v>
      </x:c>
      <x:c r="Q56" s="23" t="str">
        <x:v>1</x:v>
      </x:c>
      <x:c r="R56" s="23" t="str">
        <x:v>15</x:v>
      </x:c>
      <x:c r="S56" s="23" t="str">
        <x:v>12</x:v>
      </x:c>
      <x:c r="T56" s="23" t="str">
        <x:v>3</x:v>
      </x:c>
      <x:c r="U56" s="23" t="str">
        <x:v>0</x:v>
      </x:c>
      <x:c r="V56" s="21" t="str"/>
      <x:c r="W56" s="21" t="str">
        <x:v>governed_eligible</x:v>
      </x:c>
      <x:c r="X56" s="21" t="str">
        <x:v>fiber</x:v>
      </x:c>
      <x:c r="Y56" s="21" t="str">
        <x:v>shared_hardware; shared_optical_carrier; shared_link_or_channel; shared_resource_allocation; joint_design_or_optimization</x:v>
      </x:c>
      <x:c r="Z56" s="21" t="str">
        <x:v>coherent_DP_16QAM_DSM_transmission</x:v>
      </x:c>
      <x:c r="AA56" s="21" t="str">
        <x:v>distributed_acoustic_sensing; ultra_low_frequency_vibration_detection; localization; strain_measurement</x:v>
      </x:c>
      <x:c r="AB56" s="21" t="str">
        <x:v>5</x:v>
      </x:c>
      <x:c r="AC56" s="21" t="str">
        <x:v>simulation; laboratory_experiment; prototype_testbed</x:v>
      </x:c>
      <x:c r="AD56" s="21" t="str">
        <x:v>industrial; environment_monitoring; optical_access_network; smart_infrastructure</x:v>
      </x:c>
      <x:c r="AE56" s="21" t="str">
        <x:v>inferred</x:v>
      </x:c>
    </x:row>
    <x:row r="57" ht="42" customHeight="1">
      <x:c r="A57" s="21" t="str">
        <x:v>STC-SINGLETON-SCR-00356</x:v>
      </x:c>
      <x:c r="B57" s="21" t="str">
        <x:v>SCR-00356</x:v>
      </x:c>
      <x:c r="C57" s="21" t="str">
        <x:v>OISAC_SCR00356</x:v>
      </x:c>
      <x:c r="D57" s="21" t="str">
        <x:v>OISAC_SCR00356</x:v>
      </x:c>
      <x:c r="E57" s="21" t="str"/>
      <x:c r="F57" s="21" t="str">
        <x:v>OISAC_SCR00356</x:v>
      </x:c>
      <x:c r="G57" s="21" t="str">
        <x:v>\cite{OISAC_SCR00356}</x:v>
      </x:c>
      <x:c r="H57" s="21" t="str">
        <x:v>Gaiani et al. (2025)</x:v>
      </x:c>
      <x:c r="I57" s="21" t="str">
        <x:v>Exploitation of FMF capabilities for joint communications and sensing</x:v>
      </x:c>
      <x:c r="J57" s="23" t="str">
        <x:v>2025</x:v>
      </x:c>
      <x:c r="K57" s="21" t="str">
        <x:v>International Conference on Transparent Optical Networks</x:v>
      </x:c>
      <x:c r="L57" s="21" t="str">
        <x:v>10.1109/icton67126.2025.11125376</x:v>
      </x:c>
      <x:c r="M57" s="21" t="str">
        <x:v>RPT-SCR-00356-01</x:v>
      </x:c>
      <x:c r="N57" s="23" t="str">
        <x:v>1</x:v>
      </x:c>
      <x:c r="O57" s="23" t="str">
        <x:v>0</x:v>
      </x:c>
      <x:c r="P57" s="21" t="str">
        <x:v>RPT-SCR-00356-01</x:v>
      </x:c>
      <x:c r="Q57" s="23" t="str">
        <x:v>1</x:v>
      </x:c>
      <x:c r="R57" s="23" t="str">
        <x:v>10</x:v>
      </x:c>
      <x:c r="S57" s="23" t="str">
        <x:v>7</x:v>
      </x:c>
      <x:c r="T57" s="23" t="str">
        <x:v>0</x:v>
      </x:c>
      <x:c r="U57" s="23" t="str">
        <x:v>0</x:v>
      </x:c>
      <x:c r="V57" s="21" t="str"/>
      <x:c r="W57" s="21" t="str">
        <x:v>governed_eligible</x:v>
      </x:c>
      <x:c r="X57" s="21" t="str">
        <x:v>fiber</x:v>
      </x:c>
      <x:c r="Y57" s="21" t="str">
        <x:v>shared_waveform; shared_hardware; shared_optical_carrier; shared_link_or_channel</x:v>
      </x:c>
      <x:c r="Z57" s="21" t="str">
        <x:v>data_transmission</x:v>
      </x:c>
      <x:c r="AA57" s="21" t="str">
        <x:v>vibration_sensing; monitoring; detection</x:v>
      </x:c>
      <x:c r="AB57" s="21" t="str">
        <x:v>5</x:v>
      </x:c>
      <x:c r="AC57" s="21" t="str">
        <x:v>laboratory_experiment; prototype_testbed</x:v>
      </x:c>
      <x:c r="AD57" s="21" t="str">
        <x:v>industrial; optical_access_network; smart_infrastructure</x:v>
      </x:c>
      <x:c r="AE57" s="21" t="str">
        <x:v>direct</x:v>
      </x:c>
    </x:row>
    <x:row r="58" ht="42" customHeight="1">
      <x:c r="A58" s="21" t="str">
        <x:v>STC-SINGLETON-SCR-00361</x:v>
      </x:c>
      <x:c r="B58" s="21" t="str">
        <x:v>SCR-00361</x:v>
      </x:c>
      <x:c r="C58" s="21" t="str">
        <x:v>OISAC_SCR00361</x:v>
      </x:c>
      <x:c r="D58" s="21" t="str">
        <x:v>OISAC_SCR00361</x:v>
      </x:c>
      <x:c r="E58" s="21" t="str"/>
      <x:c r="F58" s="21" t="str">
        <x:v>OISAC_SCR00361</x:v>
      </x:c>
      <x:c r="G58" s="21" t="str">
        <x:v>\cite{OISAC_SCR00361}</x:v>
      </x:c>
      <x:c r="H58" s="21" t="str">
        <x:v>Yixiao et al. (2025)</x:v>
      </x:c>
      <x:c r="I58" s="21" t="str">
        <x:v>Photonic-aided Doppler-robust ISAC system based on index modulation and chirp multiplexing</x:v>
      </x:c>
      <x:c r="J58" s="23" t="str">
        <x:v>2025</x:v>
      </x:c>
      <x:c r="K58" s="21" t="str">
        <x:v>Optics Express</x:v>
      </x:c>
      <x:c r="L58" s="21" t="str">
        <x:v>10.1364/oe.564416</x:v>
      </x:c>
      <x:c r="M58" s="21" t="str">
        <x:v>RPT-SCR-00361-01</x:v>
      </x:c>
      <x:c r="N58" s="23" t="str">
        <x:v>1</x:v>
      </x:c>
      <x:c r="O58" s="23" t="str">
        <x:v>0</x:v>
      </x:c>
      <x:c r="P58" s="21" t="str">
        <x:v>RPT-SCR-00361-01</x:v>
      </x:c>
      <x:c r="Q58" s="23" t="str">
        <x:v>1</x:v>
      </x:c>
      <x:c r="R58" s="23" t="str">
        <x:v>10</x:v>
      </x:c>
      <x:c r="S58" s="23" t="str">
        <x:v>12</x:v>
      </x:c>
      <x:c r="T58" s="23" t="str">
        <x:v>3</x:v>
      </x:c>
      <x:c r="U58" s="23" t="str">
        <x:v>0</x:v>
      </x:c>
      <x:c r="V58" s="21" t="str"/>
      <x:c r="W58" s="21" t="str">
        <x:v>governed_eligible</x:v>
      </x:c>
      <x:c r="X58" s="21" t="str">
        <x:v>photonic_THz</x:v>
      </x:c>
      <x:c r="Y58" s="21" t="str">
        <x:v>shared_waveform; shared_hardware; shared_optical_carrier; shared_resource_allocation; joint_design_or_optimization</x:v>
      </x:c>
      <x:c r="Z58" s="21" t="str">
        <x:v>data_transmission</x:v>
      </x:c>
      <x:c r="AA58" s="21" t="str">
        <x:v>ranging; detection; localization</x:v>
      </x:c>
      <x:c r="AB58" s="21" t="str">
        <x:v>5</x:v>
      </x:c>
      <x:c r="AC58" s="21" t="str">
        <x:v>analytical; simulation; laboratory_experiment; prototype_testbed; mixed</x:v>
      </x:c>
      <x:c r="AD58" s="21" t="str">
        <x:v>6G_access; aerospace</x:v>
      </x:c>
      <x:c r="AE58" s="21" t="str">
        <x:v>direct</x:v>
      </x:c>
    </x:row>
    <x:row r="59" ht="42" customHeight="1">
      <x:c r="A59" s="21" t="str">
        <x:v>STC-SINGLETON-SCR-00362</x:v>
      </x:c>
      <x:c r="B59" s="21" t="str">
        <x:v>SCR-00362</x:v>
      </x:c>
      <x:c r="C59" s="21" t="str">
        <x:v>OISAC_SCR00362</x:v>
      </x:c>
      <x:c r="D59" s="21" t="str">
        <x:v>OISAC_SCR00362</x:v>
      </x:c>
      <x:c r="E59" s="21" t="str"/>
      <x:c r="F59" s="21" t="str">
        <x:v>OISAC_SCR00362</x:v>
      </x:c>
      <x:c r="G59" s="21" t="str">
        <x:v>\cite{OISAC_SCR00362}</x:v>
      </x:c>
      <x:c r="H59" s="21" t="str">
        <x:v>Wang et al. (2025)</x:v>
      </x:c>
      <x:c r="I59" s="21" t="str">
        <x:v>Frequency-comb-steered ultrawideband quasi-true-time-delay beamformer for integrated sensing and communication</x:v>
      </x:c>
      <x:c r="J59" s="23" t="str">
        <x:v>2025</x:v>
      </x:c>
      <x:c r="K59" s="21" t="str">
        <x:v>Nature Communications</x:v>
      </x:c>
      <x:c r="L59" s="21" t="str">
        <x:v>10.1038/s41467-025-62854-z</x:v>
      </x:c>
      <x:c r="M59" s="21" t="str">
        <x:v>RPT-SCR-00362-01</x:v>
      </x:c>
      <x:c r="N59" s="23" t="str">
        <x:v>1</x:v>
      </x:c>
      <x:c r="O59" s="23" t="str">
        <x:v>0</x:v>
      </x:c>
      <x:c r="P59" s="21" t="str">
        <x:v>RPT-SCR-00362-01</x:v>
      </x:c>
      <x:c r="Q59" s="23" t="str">
        <x:v>1</x:v>
      </x:c>
      <x:c r="R59" s="23" t="str">
        <x:v>15</x:v>
      </x:c>
      <x:c r="S59" s="23" t="str">
        <x:v>12</x:v>
      </x:c>
      <x:c r="T59" s="23" t="str">
        <x:v>2</x:v>
      </x:c>
      <x:c r="U59" s="23" t="str">
        <x:v>0</x:v>
      </x:c>
      <x:c r="V59" s="21" t="str"/>
      <x:c r="W59" s="21" t="str">
        <x:v>governed_eligible</x:v>
      </x:c>
      <x:c r="X59" s="21" t="str">
        <x:v>photonic_THz</x:v>
      </x:c>
      <x:c r="Y59" s="21" t="str">
        <x:v>shared_waveform; shared_hardware; shared_optical_carrier; shared_resource_allocation; joint_design_or_optimization</x:v>
      </x:c>
      <x:c r="Z59" s="21" t="str">
        <x:v>data_transmission; beamforming</x:v>
      </x:c>
      <x:c r="AA59" s="21" t="str">
        <x:v>imaging; ranging; detection</x:v>
      </x:c>
      <x:c r="AB59" s="21" t="str">
        <x:v>5</x:v>
      </x:c>
      <x:c r="AC59" s="21" t="str">
        <x:v>analytical; simulation; laboratory_experiment; prototype_testbed; mixed</x:v>
      </x:c>
      <x:c r="AD59" s="21" t="str">
        <x:v>6G_access; vehicular; aerospace; smart_infrastructure</x:v>
      </x:c>
      <x:c r="AE59" s="21" t="str">
        <x:v>direct</x:v>
      </x:c>
    </x:row>
    <x:row r="60" ht="42" customHeight="1">
      <x:c r="A60" s="21" t="str">
        <x:v>STC-SINGLETON-SCR-00366</x:v>
      </x:c>
      <x:c r="B60" s="21" t="str">
        <x:v>SCR-00366</x:v>
      </x:c>
      <x:c r="C60" s="21" t="str">
        <x:v>OISAC_SCR00366</x:v>
      </x:c>
      <x:c r="D60" s="21" t="str">
        <x:v>OISAC_SCR00366</x:v>
      </x:c>
      <x:c r="E60" s="21" t="str"/>
      <x:c r="F60" s="21" t="str">
        <x:v>OISAC_SCR00366</x:v>
      </x:c>
      <x:c r="G60" s="21" t="str">
        <x:v>\cite{OISAC_SCR00366}</x:v>
      </x:c>
      <x:c r="H60" s="21" t="str">
        <x:v>Wang et al. (2025)</x:v>
      </x:c>
      <x:c r="I60" s="21" t="str">
        <x:v>Integrated ultra-large dynamic vibration sensing with fronthaul analog radio-over-fiber transmission</x:v>
      </x:c>
      <x:c r="J60" s="23" t="str">
        <x:v>2025</x:v>
      </x:c>
      <x:c r="K60" s="21" t="str">
        <x:v>Photonics Research</x:v>
      </x:c>
      <x:c r="L60" s="21" t="str">
        <x:v>10.1364/prj.553098</x:v>
      </x:c>
      <x:c r="M60" s="21" t="str">
        <x:v>RPT-SCR-00366-01</x:v>
      </x:c>
      <x:c r="N60" s="23" t="str">
        <x:v>1</x:v>
      </x:c>
      <x:c r="O60" s="23" t="str">
        <x:v>0</x:v>
      </x:c>
      <x:c r="P60" s="21" t="str">
        <x:v>RPT-SCR-00366-01</x:v>
      </x:c>
      <x:c r="Q60" s="23" t="str">
        <x:v>1</x:v>
      </x:c>
      <x:c r="R60" s="23" t="str">
        <x:v>12</x:v>
      </x:c>
      <x:c r="S60" s="23" t="str">
        <x:v>18</x:v>
      </x:c>
      <x:c r="T60" s="23" t="str">
        <x:v>3</x:v>
      </x:c>
      <x:c r="U60" s="23" t="str">
        <x:v>0</x:v>
      </x:c>
      <x:c r="V60" s="21" t="str"/>
      <x:c r="W60" s="21" t="str">
        <x:v>governed_eligible</x:v>
      </x:c>
      <x:c r="X60" s="21" t="str">
        <x:v>hybrid_optical</x:v>
      </x:c>
      <x:c r="Y60" s="21" t="str">
        <x:v>shared_waveform; shared_hardware; shared_optical_carrier; shared_link_or_channel; shared_resource_allocation; joint_design_or_optimization</x:v>
      </x:c>
      <x:c r="Z60" s="21" t="str">
        <x:v>analog_radio_over_fiber_fronthaul; millimeter_wave_OFDM_data_transmission</x:v>
      </x:c>
      <x:c r="AA60" s="21" t="str">
        <x:v>distributed_acoustic_sensing; vibration_localization; dynamic_strain_measurement</x:v>
      </x:c>
      <x:c r="AB60" s="21" t="str">
        <x:v>5</x:v>
      </x:c>
      <x:c r="AC60" s="21" t="str">
        <x:v>simulation; laboratory_experiment; prototype_testbed; mixed</x:v>
      </x:c>
      <x:c r="AD60" s="21" t="str">
        <x:v>6G_access; environment_monitoring; optical_access_network; smart_infrastructure</x:v>
      </x:c>
      <x:c r="AE60" s="21" t="str">
        <x:v>direct</x:v>
      </x:c>
    </x:row>
    <x:row r="61" ht="42" customHeight="1">
      <x:c r="A61" s="21" t="str">
        <x:v>STC-SINGLETON-SCR-00367</x:v>
      </x:c>
      <x:c r="B61" s="21" t="str">
        <x:v>SCR-00367</x:v>
      </x:c>
      <x:c r="C61" s="21" t="str">
        <x:v>OISAC_SCR00367</x:v>
      </x:c>
      <x:c r="D61" s="21" t="str">
        <x:v>OISAC_SCR00367</x:v>
      </x:c>
      <x:c r="E61" s="21" t="str"/>
      <x:c r="F61" s="21" t="str">
        <x:v>OISAC_SCR00367</x:v>
      </x:c>
      <x:c r="G61" s="21" t="str">
        <x:v>\cite{OISAC_SCR00367}</x:v>
      </x:c>
      <x:c r="H61" s="21" t="str">
        <x:v>Shi et al. (2025)</x:v>
      </x:c>
      <x:c r="I61" s="21" t="str">
        <x:v>Common bias-digital subcarrier multiplexing scheme for integrated sensing and communication in short-reach optical transmission systems</x:v>
      </x:c>
      <x:c r="J61" s="23" t="str">
        <x:v>2025</x:v>
      </x:c>
      <x:c r="K61" s="21" t="str">
        <x:v>Optics Express</x:v>
      </x:c>
      <x:c r="L61" s="21" t="str">
        <x:v>10.1364/oe.565431</x:v>
      </x:c>
      <x:c r="M61" s="21" t="str">
        <x:v>RPT-SCR-00367-01</x:v>
      </x:c>
      <x:c r="N61" s="23" t="str">
        <x:v>1</x:v>
      </x:c>
      <x:c r="O61" s="23" t="str">
        <x:v>0</x:v>
      </x:c>
      <x:c r="P61" s="21" t="str">
        <x:v>RPT-SCR-00367-01</x:v>
      </x:c>
      <x:c r="Q61" s="23" t="str">
        <x:v>1</x:v>
      </x:c>
      <x:c r="R61" s="23" t="str">
        <x:v>11</x:v>
      </x:c>
      <x:c r="S61" s="23" t="str">
        <x:v>15</x:v>
      </x:c>
      <x:c r="T61" s="23" t="str">
        <x:v>2</x:v>
      </x:c>
      <x:c r="U61" s="23" t="str">
        <x:v>0</x:v>
      </x:c>
      <x:c r="V61" s="21" t="str"/>
      <x:c r="W61" s="21" t="str">
        <x:v>governed_eligible</x:v>
      </x:c>
      <x:c r="X61" s="21" t="str">
        <x:v>fiber</x:v>
      </x:c>
      <x:c r="Y61" s="21" t="str">
        <x:v>shared_waveform; shared_hardware; shared_optical_carrier; shared_link_or_channel; shared_resource_allocation; joint_design_or_optimization</x:v>
      </x:c>
      <x:c r="Z61" s="21" t="str">
        <x:v>short_reach_IMDD_data_transmission; ACO_OFDM_communication</x:v>
      </x:c>
      <x:c r="AA61" s="21" t="str">
        <x:v>distributed_acoustic_sensing; vibration_localization; vibration_waveform_recovery</x:v>
      </x:c>
      <x:c r="AB61" s="21" t="str">
        <x:v>5</x:v>
      </x:c>
      <x:c r="AC61" s="21" t="str">
        <x:v>analytical; laboratory_experiment; prototype_testbed</x:v>
      </x:c>
      <x:c r="AD61" s="21" t="str">
        <x:v>industrial; environment_monitoring; optical_access_network; smart_infrastructure</x:v>
      </x:c>
      <x:c r="AE61" s="21" t="str">
        <x:v>direct</x:v>
      </x:c>
    </x:row>
    <x:row r="62" ht="42" customHeight="1">
      <x:c r="A62" s="21" t="str">
        <x:v>STC-SINGLETON-SCR-00369</x:v>
      </x:c>
      <x:c r="B62" s="21" t="str">
        <x:v>SCR-00369</x:v>
      </x:c>
      <x:c r="C62" s="21" t="str">
        <x:v>OISAC_SCR00369</x:v>
      </x:c>
      <x:c r="D62" s="21" t="str">
        <x:v>OISAC_SCR00369</x:v>
      </x:c>
      <x:c r="E62" s="21" t="str"/>
      <x:c r="F62" s="21" t="str">
        <x:v>OISAC_SCR00369</x:v>
      </x:c>
      <x:c r="G62" s="21" t="str">
        <x:v>\cite{OISAC_SCR00369}</x:v>
      </x:c>
      <x:c r="H62" s="21" t="str">
        <x:v>Song et al. (2025)</x:v>
      </x:c>
      <x:c r="I62" s="21" t="str">
        <x:v>Simultaneous polarization demultiplexing and vibration sensing via single pilot tone in DSCM-ISAC systems</x:v>
      </x:c>
      <x:c r="J62" s="23" t="str">
        <x:v>2025</x:v>
      </x:c>
      <x:c r="K62" s="21" t="str">
        <x:v>Optics Express</x:v>
      </x:c>
      <x:c r="L62" s="21" t="str">
        <x:v>10.1364/oe.582621</x:v>
      </x:c>
      <x:c r="M62" s="21" t="str">
        <x:v>RPT-SCR-00369-01</x:v>
      </x:c>
      <x:c r="N62" s="23" t="str">
        <x:v>1</x:v>
      </x:c>
      <x:c r="O62" s="23" t="str">
        <x:v>0</x:v>
      </x:c>
      <x:c r="P62" s="21" t="str">
        <x:v>RPT-SCR-00369-01</x:v>
      </x:c>
      <x:c r="Q62" s="23" t="str">
        <x:v>1</x:v>
      </x:c>
      <x:c r="R62" s="23" t="str">
        <x:v>12</x:v>
      </x:c>
      <x:c r="S62" s="23" t="str">
        <x:v>18</x:v>
      </x:c>
      <x:c r="T62" s="23" t="str">
        <x:v>3</x:v>
      </x:c>
      <x:c r="U62" s="23" t="str">
        <x:v>0</x:v>
      </x:c>
      <x:c r="V62" s="21" t="str"/>
      <x:c r="W62" s="21" t="str">
        <x:v>governed_eligible</x:v>
      </x:c>
      <x:c r="X62" s="21" t="str">
        <x:v>fiber</x:v>
      </x:c>
      <x:c r="Y62" s="21" t="str">
        <x:v>shared_waveform; shared_hardware; shared_optical_carrier; shared_link_or_channel; shared_resource_allocation; joint_design_or_optimization</x:v>
      </x:c>
      <x:c r="Z62" s="21" t="str">
        <x:v>coherent_DSCM_data_transmission; pilot_aided_polarization_demultiplexing</x:v>
      </x:c>
      <x:c r="AA62" s="21" t="str">
        <x:v>forward_polarization_sensing; transient_vibration_detection; event_localization; ultrafast_SOP_event_timing</x:v>
      </x:c>
      <x:c r="AB62" s="21" t="str">
        <x:v>5</x:v>
      </x:c>
      <x:c r="AC62" s="21" t="str">
        <x:v>analytical; laboratory_experiment; prototype_testbed</x:v>
      </x:c>
      <x:c r="AD62" s="21" t="str">
        <x:v>6G_access; industrial; security; environment_monitoring</x:v>
      </x:c>
      <x:c r="AE62" s="21" t="str">
        <x:v>direct</x:v>
      </x:c>
    </x:row>
    <x:row r="63" ht="42" customHeight="1">
      <x:c r="A63" s="21" t="str">
        <x:v>STC-SINGLETON-SCR-00376</x:v>
      </x:c>
      <x:c r="B63" s="21" t="str">
        <x:v>SCR-00376</x:v>
      </x:c>
      <x:c r="C63" s="21" t="str">
        <x:v>OISAC_SCR00376</x:v>
      </x:c>
      <x:c r="D63" s="21" t="str">
        <x:v>OISAC_SCR00376</x:v>
      </x:c>
      <x:c r="E63" s="21" t="str"/>
      <x:c r="F63" s="21" t="str">
        <x:v>OISAC_SCR00376</x:v>
      </x:c>
      <x:c r="G63" s="21" t="str">
        <x:v>\cite{OISAC_SCR00376}</x:v>
      </x:c>
      <x:c r="H63" s="21" t="str">
        <x:v>Li et al. (2026)</x:v>
      </x:c>
      <x:c r="I63" s="21" t="str">
        <x:v>An integrated sensing and communication solar skin for health monitoring and human–machine interaction</x:v>
      </x:c>
      <x:c r="J63" s="23" t="str">
        <x:v>2026</x:v>
      </x:c>
      <x:c r="K63" s="21" t="str">
        <x:v>Nano Energy</x:v>
      </x:c>
      <x:c r="L63" s="21" t="str">
        <x:v>10.1016/j.nanoen.2025.111639</x:v>
      </x:c>
      <x:c r="M63" s="21" t="str">
        <x:v>RPT-SCR-00376-01</x:v>
      </x:c>
      <x:c r="N63" s="23" t="str">
        <x:v>1</x:v>
      </x:c>
      <x:c r="O63" s="23" t="str">
        <x:v>0</x:v>
      </x:c>
      <x:c r="P63" s="21" t="str">
        <x:v>RPT-SCR-00376-01</x:v>
      </x:c>
      <x:c r="Q63" s="23" t="str">
        <x:v>1</x:v>
      </x:c>
      <x:c r="R63" s="23" t="str">
        <x:v>14</x:v>
      </x:c>
      <x:c r="S63" s="23" t="str">
        <x:v>22</x:v>
      </x:c>
      <x:c r="T63" s="23" t="str">
        <x:v>0</x:v>
      </x:c>
      <x:c r="U63" s="23" t="str">
        <x:v>0</x:v>
      </x:c>
      <x:c r="V63" s="21" t="str"/>
      <x:c r="W63" s="21" t="str">
        <x:v>governed_eligible</x:v>
      </x:c>
      <x:c r="X63" s="21" t="str">
        <x:v>VLC_LiFi</x:v>
      </x:c>
      <x:c r="Y63" s="21" t="str">
        <x:v>shared_hardware; shared_resource_allocation; joint_design_or_optimization; shared_application_scenario</x:v>
      </x:c>
      <x:c r="Z63" s="21" t="str">
        <x:v>optical_wireless_command_reception; visible_light_data_transmission; robot_control_message_delivery</x:v>
      </x:c>
      <x:c r="AA63" s="21" t="str">
        <x:v>gesture_recognition; human_activity_recognition; photoplethysmography; heart_rate_monitoring; blood_oxygen_monitoring; optical_occlusion_sensing</x:v>
      </x:c>
      <x:c r="AB63" s="21" t="str">
        <x:v>5</x:v>
      </x:c>
      <x:c r="AC63" s="21" t="str">
        <x:v>dataset_based; laboratory_experiment; prototype_testbed; mixed</x:v>
      </x:c>
      <x:c r="AD63" s="21" t="str">
        <x:v>industrial; healthcare</x:v>
      </x:c>
      <x:c r="AE63" s="21" t="str">
        <x:v>inferred</x:v>
      </x:c>
    </x:row>
    <x:row r="64" ht="42" customHeight="1">
      <x:c r="A64" s="21" t="str">
        <x:v>STC-SINGLETON-SCR-00379</x:v>
      </x:c>
      <x:c r="B64" s="21" t="str">
        <x:v>SCR-00379</x:v>
      </x:c>
      <x:c r="C64" s="21" t="str">
        <x:v>OISAC_SCR00379</x:v>
      </x:c>
      <x:c r="D64" s="21" t="str">
        <x:v>OISAC_SCR00379</x:v>
      </x:c>
      <x:c r="E64" s="21" t="str"/>
      <x:c r="F64" s="21" t="str">
        <x:v>OISAC_SCR00379</x:v>
      </x:c>
      <x:c r="G64" s="21" t="str">
        <x:v>\cite{OISAC_SCR00379}</x:v>
      </x:c>
      <x:c r="H64" s="21" t="str">
        <x:v>Shao et al. (2025)</x:v>
      </x:c>
      <x:c r="I64" s="21" t="str">
        <x:v>Enhanced Room Coverage With Photon-Level NLOS Ultraviolet Optical Wireless Communication</x:v>
      </x:c>
      <x:c r="J64" s="23" t="str">
        <x:v>2025</x:v>
      </x:c>
      <x:c r="K64" s="21" t="str">
        <x:v>IEEE Photonics Technology Letters</x:v>
      </x:c>
      <x:c r="L64" s="21" t="str">
        <x:v>10.1109/lpt.2025.3559423</x:v>
      </x:c>
      <x:c r="M64" s="21" t="str">
        <x:v>RPT-SCR-00379-01</x:v>
      </x:c>
      <x:c r="N64" s="23" t="str">
        <x:v>1</x:v>
      </x:c>
      <x:c r="O64" s="23" t="str">
        <x:v>0</x:v>
      </x:c>
      <x:c r="P64" s="21" t="str">
        <x:v>RPT-SCR-00379-01</x:v>
      </x:c>
      <x:c r="Q64" s="23" t="str">
        <x:v>1</x:v>
      </x:c>
      <x:c r="R64" s="23" t="str">
        <x:v>12</x:v>
      </x:c>
      <x:c r="S64" s="23" t="str">
        <x:v>13</x:v>
      </x:c>
      <x:c r="T64" s="23" t="str">
        <x:v>0</x:v>
      </x:c>
      <x:c r="U64" s="23" t="str">
        <x:v>0</x:v>
      </x:c>
      <x:c r="V64" s="21" t="str"/>
      <x:c r="W64" s="21" t="str">
        <x:v>governed_eligible</x:v>
      </x:c>
      <x:c r="X64" s="21" t="str">
        <x:v>other_optical</x:v>
      </x:c>
      <x:c r="Y64" s="21" t="str">
        <x:v>shared_waveform; shared_hardware; shared_optical_carrier; shared_link_or_channel; shared_application_scenario</x:v>
      </x:c>
      <x:c r="Z64" s="21" t="str">
        <x:v>solar_blind_UV_data_transmission; NLOS_indoor_connectivity</x:v>
      </x:c>
      <x:c r="AA64" s="21" t="str">
        <x:v>particulate_aerosol_sensing; smoke_detection</x:v>
      </x:c>
      <x:c r="AB64" s="21" t="str">
        <x:v>5</x:v>
      </x:c>
      <x:c r="AC64" s="21" t="str">
        <x:v>laboratory_experiment; prototype_testbed</x:v>
      </x:c>
      <x:c r="AD64" s="21" t="str">
        <x:v>security; environment_monitoring; smart_infrastructure</x:v>
      </x:c>
      <x:c r="AE64" s="21" t="str">
        <x:v>not_applicable</x:v>
      </x:c>
    </x:row>
    <x:row r="65" ht="42" customHeight="1">
      <x:c r="A65" s="21" t="str">
        <x:v>STC-SINGLETON-SCR-00387</x:v>
      </x:c>
      <x:c r="B65" s="21" t="str">
        <x:v>SCR-00387</x:v>
      </x:c>
      <x:c r="C65" s="21" t="str">
        <x:v>OISAC_SCR00387</x:v>
      </x:c>
      <x:c r="D65" s="21" t="str">
        <x:v>OISAC_SCR00387</x:v>
      </x:c>
      <x:c r="E65" s="21" t="str"/>
      <x:c r="F65" s="21" t="str">
        <x:v>OISAC_SCR00387</x:v>
      </x:c>
      <x:c r="G65" s="21" t="str">
        <x:v>\cite{OISAC_SCR00387}</x:v>
      </x:c>
      <x:c r="H65" s="21" t="str">
        <x:v>Yue et al. (2026)</x:v>
      </x:c>
      <x:c r="I65" s="21" t="str">
        <x:v>Demonstration of Ranging-Based Phase Encryption for Enhanced Free-Space Optical Security</x:v>
      </x:c>
      <x:c r="J65" s="23" t="str">
        <x:v>2026</x:v>
      </x:c>
      <x:c r="K65" s="21" t="str">
        <x:v>Journal of Lightwave Technology</x:v>
      </x:c>
      <x:c r="L65" s="21" t="str">
        <x:v>10.1109/jlt.2026.3659143</x:v>
      </x:c>
      <x:c r="M65" s="21" t="str">
        <x:v>RPT-SCR-00387-01</x:v>
      </x:c>
      <x:c r="N65" s="23" t="str">
        <x:v>1</x:v>
      </x:c>
      <x:c r="O65" s="23" t="str">
        <x:v>0</x:v>
      </x:c>
      <x:c r="P65" s="21" t="str">
        <x:v>RPT-SCR-00387-01</x:v>
      </x:c>
      <x:c r="Q65" s="23" t="str">
        <x:v>1</x:v>
      </x:c>
      <x:c r="R65" s="23" t="str">
        <x:v>15</x:v>
      </x:c>
      <x:c r="S65" s="23" t="str">
        <x:v>16</x:v>
      </x:c>
      <x:c r="T65" s="23" t="str">
        <x:v>2</x:v>
      </x:c>
      <x:c r="U65" s="23" t="str">
        <x:v>0</x:v>
      </x:c>
      <x:c r="V65" s="21" t="str"/>
      <x:c r="W65" s="21" t="str">
        <x:v>governed_eligible</x:v>
      </x:c>
      <x:c r="X65" s="21" t="str">
        <x:v>FSO</x:v>
      </x:c>
      <x:c r="Y65" s="21" t="str">
        <x:v>shared_waveform; shared_hardware; shared_optical_carrier; shared_link_or_channel; joint_design_or_optimization; shared_application_scenario</x:v>
      </x:c>
      <x:c r="Z65" s="21" t="str">
        <x:v>coherent_QPSK_data_transmission; physical_layer_security</x:v>
      </x:c>
      <x:c r="AA65" s="21" t="str">
        <x:v>ranging; distance_estimation; key_generation</x:v>
      </x:c>
      <x:c r="AB65" s="21" t="str">
        <x:v>5</x:v>
      </x:c>
      <x:c r="AC65" s="21" t="str">
        <x:v>analytical; simulation; laboratory_experiment; prototype_testbed</x:v>
      </x:c>
      <x:c r="AD65" s="21" t="str">
        <x:v>security; aerospace</x:v>
      </x:c>
      <x:c r="AE65" s="21" t="str">
        <x:v>inferred</x:v>
      </x:c>
    </x:row>
    <x:row r="66" ht="42" customHeight="1">
      <x:c r="A66" s="21" t="str">
        <x:v>STC-SINGLETON-SCR-00396</x:v>
      </x:c>
      <x:c r="B66" s="21" t="str">
        <x:v>SCR-00396</x:v>
      </x:c>
      <x:c r="C66" s="21" t="str">
        <x:v>OISAC_SCR00396</x:v>
      </x:c>
      <x:c r="D66" s="21" t="str">
        <x:v>OISAC_SCR00396</x:v>
      </x:c>
      <x:c r="E66" s="21" t="str"/>
      <x:c r="F66" s="21" t="str">
        <x:v>OISAC_SCR00396</x:v>
      </x:c>
      <x:c r="G66" s="21" t="str">
        <x:v>\cite{OISAC_SCR00396}</x:v>
      </x:c>
      <x:c r="H66" s="21" t="str">
        <x:v>Wang et al. (2025)</x:v>
      </x:c>
      <x:c r="I66" s="21" t="str">
        <x:v>Integrated sensing and communication system based on a photonic integrated broadband multi-beamformer</x:v>
      </x:c>
      <x:c r="J66" s="23" t="str">
        <x:v>2025</x:v>
      </x:c>
      <x:c r="K66" s="21" t="str">
        <x:v>Optics Express</x:v>
      </x:c>
      <x:c r="L66" s="21" t="str">
        <x:v>10.1364/oe.555053</x:v>
      </x:c>
      <x:c r="M66" s="21" t="str">
        <x:v>RPT-SCR-00396-01</x:v>
      </x:c>
      <x:c r="N66" s="23" t="str">
        <x:v>1</x:v>
      </x:c>
      <x:c r="O66" s="23" t="str">
        <x:v>0</x:v>
      </x:c>
      <x:c r="P66" s="21" t="str">
        <x:v>RPT-SCR-00396-01</x:v>
      </x:c>
      <x:c r="Q66" s="23" t="str">
        <x:v>1</x:v>
      </x:c>
      <x:c r="R66" s="23" t="str">
        <x:v>14</x:v>
      </x:c>
      <x:c r="S66" s="23" t="str">
        <x:v>23</x:v>
      </x:c>
      <x:c r="T66" s="23" t="str">
        <x:v>2</x:v>
      </x:c>
      <x:c r="U66" s="23" t="str">
        <x:v>0</x:v>
      </x:c>
      <x:c r="V66" s="21" t="str"/>
      <x:c r="W66" s="21" t="str">
        <x:v>governed_eligible</x:v>
      </x:c>
      <x:c r="X66" s="21" t="str">
        <x:v>photonic_THz</x:v>
      </x:c>
      <x:c r="Y66" s="21" t="str">
        <x:v>shared_hardware; shared_link_or_channel; shared_resource_allocation; shared_application_scenario</x:v>
      </x:c>
      <x:c r="Z66" s="21" t="str">
        <x:v>wireless_data_transmission</x:v>
      </x:c>
      <x:c r="AA66" s="21" t="str">
        <x:v>radar_imaging; range_and_cross_range_separation</x:v>
      </x:c>
      <x:c r="AB66" s="21" t="str">
        <x:v>5</x:v>
      </x:c>
      <x:c r="AC66" s="21" t="str">
        <x:v>analytical; simulation; laboratory_experiment; prototype_testbed</x:v>
      </x:c>
      <x:c r="AD66" s="21" t="str">
        <x:v>aerospace</x:v>
      </x:c>
      <x:c r="AE66" s="21" t="str">
        <x:v>inferred</x:v>
      </x:c>
    </x:row>
    <x:row r="67" ht="42" customHeight="1">
      <x:c r="A67" s="21" t="str">
        <x:v>STC-SINGLETON-SCR-00406</x:v>
      </x:c>
      <x:c r="B67" s="21" t="str">
        <x:v>SCR-00406</x:v>
      </x:c>
      <x:c r="C67" s="21" t="str">
        <x:v>OISAC_SCR00406</x:v>
      </x:c>
      <x:c r="D67" s="21" t="str">
        <x:v>OISAC_SCR00406</x:v>
      </x:c>
      <x:c r="E67" s="21" t="str"/>
      <x:c r="F67" s="21" t="str">
        <x:v>OISAC_SCR00406</x:v>
      </x:c>
      <x:c r="G67" s="21" t="str">
        <x:v>\cite{OISAC_SCR00406}</x:v>
      </x:c>
      <x:c r="H67" s="21" t="str">
        <x:v>Zhang et al. (2025)</x:v>
      </x:c>
      <x:c r="I67" s="21" t="str">
        <x:v>Microcomb-synchronized optoelectronics</x:v>
      </x:c>
      <x:c r="J67" s="23" t="str">
        <x:v>2025</x:v>
      </x:c>
      <x:c r="K67" s="21" t="str">
        <x:v>Nature Electronics</x:v>
      </x:c>
      <x:c r="L67" s="21" t="str">
        <x:v>10.1038/s41928-025-01349-7</x:v>
      </x:c>
      <x:c r="M67" s="21" t="str">
        <x:v>RPT-SCR-00406-01</x:v>
      </x:c>
      <x:c r="N67" s="23" t="str">
        <x:v>1</x:v>
      </x:c>
      <x:c r="O67" s="23" t="str">
        <x:v>0</x:v>
      </x:c>
      <x:c r="P67" s="21" t="str">
        <x:v>RPT-SCR-00406-01</x:v>
      </x:c>
      <x:c r="Q67" s="23" t="str">
        <x:v>1</x:v>
      </x:c>
      <x:c r="R67" s="23" t="str">
        <x:v>14</x:v>
      </x:c>
      <x:c r="S67" s="23" t="str">
        <x:v>29</x:v>
      </x:c>
      <x:c r="T67" s="23" t="str">
        <x:v>0</x:v>
      </x:c>
      <x:c r="U67" s="23" t="str">
        <x:v>0</x:v>
      </x:c>
      <x:c r="V67" s="21" t="str"/>
      <x:c r="W67" s="21" t="str">
        <x:v>governed_eligible</x:v>
      </x:c>
      <x:c r="X67" s="21" t="str">
        <x:v>photonic_THz</x:v>
      </x:c>
      <x:c r="Y67" s="21" t="str">
        <x:v>shared_hardware; shared_application_scenario</x:v>
      </x:c>
      <x:c r="Z67" s="21" t="str">
        <x:v>wireless_data_transmission; synchronization_assisted_DSP_reduction</x:v>
      </x:c>
      <x:c r="AA67" s="21" t="str">
        <x:v>radar_imaging; range_estimation; velocity_estimation; long_range_detection</x:v>
      </x:c>
      <x:c r="AB67" s="21" t="str">
        <x:v>5</x:v>
      </x:c>
      <x:c r="AC67" s="21" t="str">
        <x:v>analytical; laboratory_experiment; prototype_testbed</x:v>
      </x:c>
      <x:c r="AD67" s="21" t="str">
        <x:v>other</x:v>
      </x:c>
      <x:c r="AE67" s="21" t="str">
        <x:v>inferred</x:v>
      </x:c>
    </x:row>
    <x:row r="68" ht="42" customHeight="1">
      <x:c r="A68" s="21" t="str">
        <x:v>STC-SINGLETON-SCR-00407</x:v>
      </x:c>
      <x:c r="B68" s="21" t="str">
        <x:v>SCR-00407</x:v>
      </x:c>
      <x:c r="C68" s="21" t="str">
        <x:v>OISAC_SCR00407</x:v>
      </x:c>
      <x:c r="D68" s="21" t="str">
        <x:v>OISAC_SCR00407</x:v>
      </x:c>
      <x:c r="E68" s="21" t="str"/>
      <x:c r="F68" s="21" t="str">
        <x:v>OISAC_SCR00407</x:v>
      </x:c>
      <x:c r="G68" s="21" t="str">
        <x:v>\cite{OISAC_SCR00407}</x:v>
      </x:c>
      <x:c r="H68" s="21" t="str">
        <x:v>Dong et al. (2025)</x:v>
      </x:c>
      <x:c r="I68" s="21" t="str">
        <x:v>Analysis of Visible Light-Based ISAC Channel Characteristics in a V2V Scenario</x:v>
      </x:c>
      <x:c r="J68" s="23" t="str">
        <x:v>2025</x:v>
      </x:c>
      <x:c r="K68" s="21" t="str">
        <x:v>IEEE Wireless Communications and Networking Conference, WCNC</x:v>
      </x:c>
      <x:c r="L68" s="21" t="str">
        <x:v>10.1109/wcnc61545.2025.10978645</x:v>
      </x:c>
      <x:c r="M68" s="21" t="str">
        <x:v>RPT-SCR-00407-01</x:v>
      </x:c>
      <x:c r="N68" s="23" t="str">
        <x:v>1</x:v>
      </x:c>
      <x:c r="O68" s="23" t="str">
        <x:v>0</x:v>
      </x:c>
      <x:c r="P68" s="21" t="str">
        <x:v>RPT-SCR-00407-01</x:v>
      </x:c>
      <x:c r="Q68" s="23" t="str">
        <x:v>1</x:v>
      </x:c>
      <x:c r="R68" s="23" t="str">
        <x:v>12</x:v>
      </x:c>
      <x:c r="S68" s="23" t="str">
        <x:v>7</x:v>
      </x:c>
      <x:c r="T68" s="23" t="str">
        <x:v>0</x:v>
      </x:c>
      <x:c r="U68" s="23" t="str">
        <x:v>0</x:v>
      </x:c>
      <x:c r="V68" s="21" t="str"/>
      <x:c r="W68" s="21" t="str">
        <x:v>governed_eligible</x:v>
      </x:c>
      <x:c r="X68" s="21" t="str">
        <x:v>VLC_LiFi</x:v>
      </x:c>
      <x:c r="Y68" s="21" t="str">
        <x:v>shared_optical_carrier; shared_link_or_channel; shared_application_scenario</x:v>
      </x:c>
      <x:c r="Z68" s="21" t="str">
        <x:v>channel_estimation; channel_characterization</x:v>
      </x:c>
      <x:c r="AA68" s="21" t="str">
        <x:v>channel_sensing; detection; environmental_perception</x:v>
      </x:c>
      <x:c r="AB68" s="21" t="str">
        <x:v>2</x:v>
      </x:c>
      <x:c r="AC68" s="21" t="str">
        <x:v>analytical; numerical_analysis; simulation</x:v>
      </x:c>
      <x:c r="AD68" s="21" t="str">
        <x:v>6G_access; vehicular</x:v>
      </x:c>
      <x:c r="AE68" s="21" t="str">
        <x:v>direct</x:v>
      </x:c>
    </x:row>
    <x:row r="69" ht="42" customHeight="1">
      <x:c r="A69" s="21" t="str">
        <x:v>STC-SINGLETON-SCR-00418</x:v>
      </x:c>
      <x:c r="B69" s="21" t="str">
        <x:v>SCR-00418</x:v>
      </x:c>
      <x:c r="C69" s="21" t="str">
        <x:v>OISAC_SCR00418</x:v>
      </x:c>
      <x:c r="D69" s="21" t="str">
        <x:v>OISAC_SCR00418</x:v>
      </x:c>
      <x:c r="E69" s="21" t="str"/>
      <x:c r="F69" s="21" t="str">
        <x:v>OISAC_SCR00418</x:v>
      </x:c>
      <x:c r="G69" s="21" t="str">
        <x:v>\cite{OISAC_SCR00418}</x:v>
      </x:c>
      <x:c r="H69" s="21" t="str">
        <x:v>Liu et al. (2025)</x:v>
      </x:c>
      <x:c r="I69" s="21" t="str">
        <x:v>W-band photonics-aided OFDM system integrating sensing and communication with phase noise suppression scheme</x:v>
      </x:c>
      <x:c r="J69" s="23" t="str">
        <x:v>2025</x:v>
      </x:c>
      <x:c r="K69" s="21" t="str">
        <x:v>Optics and Laser Technology</x:v>
      </x:c>
      <x:c r="L69" s="21" t="str">
        <x:v>10.1016/j.optlastec.2024.111432</x:v>
      </x:c>
      <x:c r="M69" s="21" t="str">
        <x:v>RPT-SCR-00418-01</x:v>
      </x:c>
      <x:c r="N69" s="23" t="str">
        <x:v>1</x:v>
      </x:c>
      <x:c r="O69" s="23" t="str">
        <x:v>0</x:v>
      </x:c>
      <x:c r="P69" s="21" t="str">
        <x:v>RPT-SCR-00418-01</x:v>
      </x:c>
      <x:c r="Q69" s="23" t="str">
        <x:v>1</x:v>
      </x:c>
      <x:c r="R69" s="23" t="str">
        <x:v>14</x:v>
      </x:c>
      <x:c r="S69" s="23" t="str">
        <x:v>9</x:v>
      </x:c>
      <x:c r="T69" s="23" t="str">
        <x:v>1</x:v>
      </x:c>
      <x:c r="U69" s="23" t="str">
        <x:v>0</x:v>
      </x:c>
      <x:c r="V69" s="21" t="str"/>
      <x:c r="W69" s="21" t="str">
        <x:v>governed_eligible</x:v>
      </x:c>
      <x:c r="X69" s="21" t="str">
        <x:v>photonic_THz</x:v>
      </x:c>
      <x:c r="Y69" s="21" t="str">
        <x:v>shared_waveform; shared_hardware; shared_optical_carrier; shared_link_or_channel; shared_resource_allocation; joint_design_or_optimization</x:v>
      </x:c>
      <x:c r="Z69" s="21" t="str">
        <x:v>data_transmission; channel_estimation</x:v>
      </x:c>
      <x:c r="AA69" s="21" t="str">
        <x:v>ranging; detection; localization</x:v>
      </x:c>
      <x:c r="AB69" s="21" t="str">
        <x:v>5</x:v>
      </x:c>
      <x:c r="AC69" s="21" t="str">
        <x:v>analytical; simulation; laboratory_experiment; prototype_testbed; mixed</x:v>
      </x:c>
      <x:c r="AD69" s="21" t="str">
        <x:v>6G_access; vehicular; industrial; smart_infrastructure</x:v>
      </x:c>
      <x:c r="AE69" s="21" t="str">
        <x:v>direct</x:v>
      </x:c>
    </x:row>
    <x:row r="70" ht="42" customHeight="1">
      <x:c r="A70" s="21" t="str">
        <x:v>STC-SINGLETON-SCR-00432</x:v>
      </x:c>
      <x:c r="B70" s="21" t="str">
        <x:v>SCR-00432</x:v>
      </x:c>
      <x:c r="C70" s="21" t="str">
        <x:v>OISAC_SCR00432</x:v>
      </x:c>
      <x:c r="D70" s="21" t="str">
        <x:v>OISAC_SCR00432</x:v>
      </x:c>
      <x:c r="E70" s="21" t="str"/>
      <x:c r="F70" s="21" t="str">
        <x:v>OISAC_SCR00432</x:v>
      </x:c>
      <x:c r="G70" s="21" t="str">
        <x:v>\cite{OISAC_SCR00432}</x:v>
      </x:c>
      <x:c r="H70" s="21" t="str">
        <x:v>Zhou et al. (2024)</x:v>
      </x:c>
      <x:c r="I70" s="21" t="str">
        <x:v>Ultrasonic phase extraction method for co-cable identification in coherent optical transmission systems</x:v>
      </x:c>
      <x:c r="J70" s="23" t="str">
        <x:v>2024</x:v>
      </x:c>
      <x:c r="K70" s="21" t="str">
        <x:v>Chinese Optics Letters</x:v>
      </x:c>
      <x:c r="L70" s="21" t="str">
        <x:v>10.3788/col202422.100601</x:v>
      </x:c>
      <x:c r="M70" s="21" t="str">
        <x:v>RPT-SCR-00432-01</x:v>
      </x:c>
      <x:c r="N70" s="23" t="str">
        <x:v>1</x:v>
      </x:c>
      <x:c r="O70" s="23" t="str">
        <x:v>0</x:v>
      </x:c>
      <x:c r="P70" s="21" t="str">
        <x:v>RPT-SCR-00432-01</x:v>
      </x:c>
      <x:c r="Q70" s="23" t="str">
        <x:v>1</x:v>
      </x:c>
      <x:c r="R70" s="23" t="str">
        <x:v>13</x:v>
      </x:c>
      <x:c r="S70" s="23" t="str">
        <x:v>11</x:v>
      </x:c>
      <x:c r="T70" s="23" t="str">
        <x:v>0</x:v>
      </x:c>
      <x:c r="U70" s="23" t="str">
        <x:v>0</x:v>
      </x:c>
      <x:c r="V70" s="21" t="str"/>
      <x:c r="W70" s="21" t="str">
        <x:v>governed_eligible</x:v>
      </x:c>
      <x:c r="X70" s="21" t="str">
        <x:v>fiber</x:v>
      </x:c>
      <x:c r="Y70" s="21" t="str">
        <x:v>shared_waveform; shared_hardware; shared_optical_carrier; shared_link_or_channel; joint_design_or_optimization</x:v>
      </x:c>
      <x:c r="Z70" s="21" t="str">
        <x:v>coherent_DP-QPSK_data_transmission</x:v>
      </x:c>
      <x:c r="AA70" s="21" t="str">
        <x:v>ultrasonic_phase_sensing; vibration_sensing; co-cable_identification; detection; monitoring</x:v>
      </x:c>
      <x:c r="AB70" s="21" t="str">
        <x:v>5</x:v>
      </x:c>
      <x:c r="AC70" s="21" t="str">
        <x:v>analytical; simulation; laboratory_experiment; prototype_testbed; mixed</x:v>
      </x:c>
      <x:c r="AD70" s="21" t="str">
        <x:v>industrial; security; optical_access_network; smart_infrastructure</x:v>
      </x:c>
      <x:c r="AE70" s="21" t="str">
        <x:v>inferred</x:v>
      </x:c>
    </x:row>
    <x:row r="71" ht="42" customHeight="1">
      <x:c r="A71" s="21" t="str">
        <x:v>STC-SINGLETON-SCR-00436</x:v>
      </x:c>
      <x:c r="B71" s="21" t="str">
        <x:v>SCR-00436</x:v>
      </x:c>
      <x:c r="C71" s="21" t="str">
        <x:v>OISAC_SCR00436</x:v>
      </x:c>
      <x:c r="D71" s="21" t="str">
        <x:v>OISAC_SCR00436</x:v>
      </x:c>
      <x:c r="E71" s="21" t="str"/>
      <x:c r="F71" s="21" t="str">
        <x:v>OISAC_SCR00436</x:v>
      </x:c>
      <x:c r="G71" s="21" t="str">
        <x:v>\cite{OISAC_SCR00436}</x:v>
      </x:c>
      <x:c r="H71" s="21" t="str">
        <x:v>Anastasopoulos et al. (2025)</x:v>
      </x:c>
      <x:c r="I71" s="21" t="str">
        <x:v>Optical Transport Network Optimization Supporting Integrated Sensing and Communication Services</x:v>
      </x:c>
      <x:c r="J71" s="23" t="str">
        <x:v>2025</x:v>
      </x:c>
      <x:c r="K71" s="21" t="str">
        <x:v>Optical Fiber Communication Conference in Proceedings Optical Fiber Communication Conference, OFC 2025 and Optical Fiber Communication Conference (OFC) Postdeadline Papers 2025</x:v>
      </x:c>
      <x:c r="L71" s="21" t="str">
        <x:v>10.1364/ofc.2025.w2a.48</x:v>
      </x:c>
      <x:c r="M71" s="21" t="str">
        <x:v>RPT-SCR-00436-01</x:v>
      </x:c>
      <x:c r="N71" s="23" t="str">
        <x:v>1</x:v>
      </x:c>
      <x:c r="O71" s="23" t="str">
        <x:v>0</x:v>
      </x:c>
      <x:c r="P71" s="21" t="str">
        <x:v>RPT-SCR-00436-01</x:v>
      </x:c>
      <x:c r="Q71" s="23" t="str">
        <x:v>1</x:v>
      </x:c>
      <x:c r="R71" s="23" t="str">
        <x:v>12</x:v>
      </x:c>
      <x:c r="S71" s="23" t="str">
        <x:v>1</x:v>
      </x:c>
      <x:c r="T71" s="23" t="str">
        <x:v>1</x:v>
      </x:c>
      <x:c r="U71" s="23" t="str">
        <x:v>0</x:v>
      </x:c>
      <x:c r="V71" s="21" t="str"/>
      <x:c r="W71" s="21" t="str">
        <x:v>governed_eligible</x:v>
      </x:c>
      <x:c r="X71" s="21" t="str">
        <x:v>hybrid_optical</x:v>
      </x:c>
      <x:c r="Y71" s="21" t="str">
        <x:v>shared_waveform; shared_hardware; shared_link_or_channel; shared_resource_allocation; joint_design_or_optimization; shared_application_scenario</x:v>
      </x:c>
      <x:c r="Z71" s="21" t="str">
        <x:v>5G_NR_connectivity; fronthaul; backhaul; transport_networking</x:v>
      </x:c>
      <x:c r="AA71" s="21" t="str">
        <x:v>passive_radar; object_detection; position_estimation; tracking; monitoring</x:v>
      </x:c>
      <x:c r="AB71" s="21" t="str">
        <x:v>5</x:v>
      </x:c>
      <x:c r="AC71" s="21" t="str">
        <x:v>simulation; laboratory_experiment; prototype_testbed; mixed</x:v>
      </x:c>
      <x:c r="AD71" s="21" t="str">
        <x:v>6G_access; optical_access_network; smart_infrastructure</x:v>
      </x:c>
      <x:c r="AE71" s="21" t="str">
        <x:v>direct</x:v>
      </x:c>
    </x:row>
    <x:row r="72" ht="42" customHeight="1">
      <x:c r="A72" s="21" t="str">
        <x:v>STC-SINGLETON-SCR-00451</x:v>
      </x:c>
      <x:c r="B72" s="21" t="str">
        <x:v>SCR-00451</x:v>
      </x:c>
      <x:c r="C72" s="21" t="str">
        <x:v>OISAC_SCR00451</x:v>
      </x:c>
      <x:c r="D72" s="21" t="str">
        <x:v>OISAC_SCR00451</x:v>
      </x:c>
      <x:c r="E72" s="21" t="str"/>
      <x:c r="F72" s="21" t="str">
        <x:v>OISAC_SCR00451</x:v>
      </x:c>
      <x:c r="G72" s="21" t="str">
        <x:v>\cite{OISAC_SCR00451}</x:v>
      </x:c>
      <x:c r="H72" s="21" t="str">
        <x:v>Wu et al. (2024)</x:v>
      </x:c>
      <x:c r="I72" s="21" t="str">
        <x:v>Wearable Sensors Based on Miniaturized High-Performance Hybrid Nanogenerator for Medical Health Monitoring</x:v>
      </x:c>
      <x:c r="J72" s="23" t="str">
        <x:v>2024</x:v>
      </x:c>
      <x:c r="K72" s="21" t="str">
        <x:v>Biosensors</x:v>
      </x:c>
      <x:c r="L72" s="21" t="str">
        <x:v>10.3390/bios14080361</x:v>
      </x:c>
      <x:c r="M72" s="21" t="str">
        <x:v>RPT-SCR-00451-01</x:v>
      </x:c>
      <x:c r="N72" s="23" t="str">
        <x:v>1</x:v>
      </x:c>
      <x:c r="O72" s="23" t="str">
        <x:v>0</x:v>
      </x:c>
      <x:c r="P72" s="21" t="str">
        <x:v>RPT-SCR-00451-01</x:v>
      </x:c>
      <x:c r="Q72" s="23" t="str">
        <x:v>1</x:v>
      </x:c>
      <x:c r="R72" s="23" t="str">
        <x:v>14</x:v>
      </x:c>
      <x:c r="S72" s="23" t="str">
        <x:v>16</x:v>
      </x:c>
      <x:c r="T72" s="23" t="str">
        <x:v>0</x:v>
      </x:c>
      <x:c r="U72" s="23" t="str">
        <x:v>0</x:v>
      </x:c>
      <x:c r="V72" s="21" t="str"/>
      <x:c r="W72" s="21" t="str">
        <x:v>governed_eligible</x:v>
      </x:c>
      <x:c r="X72" s="21" t="str">
        <x:v>VLC_LiFi</x:v>
      </x:c>
      <x:c r="Y72" s="21" t="str">
        <x:v>shared_hardware; joint_design_or_optimization; shared_application_scenario</x:v>
      </x:c>
      <x:c r="Z72" s="21" t="str">
        <x:v>motion_state_information_transmission; remote_alarm</x:v>
      </x:c>
      <x:c r="AA72" s="21" t="str">
        <x:v>human_motion_monitoring; fall_detection; activity_state_detection</x:v>
      </x:c>
      <x:c r="AB72" s="21" t="str">
        <x:v>5</x:v>
      </x:c>
      <x:c r="AC72" s="21" t="str">
        <x:v>laboratory_experiment; prototype_testbed</x:v>
      </x:c>
      <x:c r="AD72" s="21" t="str">
        <x:v>healthcare</x:v>
      </x:c>
      <x:c r="AE72" s="21" t="str">
        <x:v>direct</x:v>
      </x:c>
    </x:row>
    <x:row r="73" ht="42" customHeight="1">
      <x:c r="A73" s="21" t="str">
        <x:v>STC-SINGLETON-SCR-00456</x:v>
      </x:c>
      <x:c r="B73" s="21" t="str">
        <x:v>SCR-00456</x:v>
      </x:c>
      <x:c r="C73" s="21" t="str">
        <x:v>OISAC_SCR00456</x:v>
      </x:c>
      <x:c r="D73" s="21" t="str">
        <x:v>OISAC_SCR00456</x:v>
      </x:c>
      <x:c r="E73" s="21" t="str"/>
      <x:c r="F73" s="21" t="str">
        <x:v>OISAC_SCR00456</x:v>
      </x:c>
      <x:c r="G73" s="21" t="str">
        <x:v>\cite{OISAC_SCR00456}</x:v>
      </x:c>
      <x:c r="H73" s="21" t="str">
        <x:v>Wu et al. (2025)</x:v>
      </x:c>
      <x:c r="I73" s="21" t="str">
        <x:v>An Adaptive Control System for Satellite-Ground Laser Communication Based on Integrated Sensing and Communication</x:v>
      </x:c>
      <x:c r="J73" s="23" t="str">
        <x:v>2025</x:v>
      </x:c>
      <x:c r="K73" s="21" t="str">
        <x:v>Opto-Electronics and Communications Conference, OECC</x:v>
      </x:c>
      <x:c r="L73" s="21" t="str">
        <x:v>10.23919/oecc/psc62146.2025.11110813</x:v>
      </x:c>
      <x:c r="M73" s="21" t="str">
        <x:v>RPT-SCR-00456-01</x:v>
      </x:c>
      <x:c r="N73" s="23" t="str">
        <x:v>1</x:v>
      </x:c>
      <x:c r="O73" s="23" t="str">
        <x:v>0</x:v>
      </x:c>
      <x:c r="P73" s="21" t="str">
        <x:v>RPT-SCR-00456-01</x:v>
      </x:c>
      <x:c r="Q73" s="23" t="str">
        <x:v>1</x:v>
      </x:c>
      <x:c r="R73" s="23" t="str">
        <x:v>13</x:v>
      </x:c>
      <x:c r="S73" s="23" t="str">
        <x:v>13</x:v>
      </x:c>
      <x:c r="T73" s="23" t="str">
        <x:v>0</x:v>
      </x:c>
      <x:c r="U73" s="23" t="str">
        <x:v>0</x:v>
      </x:c>
      <x:c r="V73" s="21" t="str"/>
      <x:c r="W73" s="21" t="str">
        <x:v>governed_eligible</x:v>
      </x:c>
      <x:c r="X73" s="21" t="str">
        <x:v>FSO</x:v>
      </x:c>
      <x:c r="Y73" s="21" t="str">
        <x:v>shared_waveform; shared_hardware; shared_optical_carrier; shared_link_or_channel; joint_design_or_optimization; shared_application_scenario</x:v>
      </x:c>
      <x:c r="Z73" s="21" t="str">
        <x:v>satellite_ground_data_transmission; adaptive_modulation; adaptive_power_control; link_switching</x:v>
      </x:c>
      <x:c r="AA73" s="21" t="str">
        <x:v>atmospheric_turbulence_sensing; wavefront_distortion_reconstruction; nine_class_turbulence_classification</x:v>
      </x:c>
      <x:c r="AB73" s="21" t="str">
        <x:v>2</x:v>
      </x:c>
      <x:c r="AC73" s="21" t="str">
        <x:v>analytical; simulation</x:v>
      </x:c>
      <x:c r="AD73" s="21" t="str">
        <x:v>6G_access; environment_monitoring; aerospace</x:v>
      </x:c>
      <x:c r="AE73" s="21" t="str">
        <x:v>direct</x:v>
      </x:c>
    </x:row>
    <x:row r="74" ht="42" customHeight="1">
      <x:c r="A74" s="21" t="str">
        <x:v>STC-SINGLETON-SCR-00460</x:v>
      </x:c>
      <x:c r="B74" s="21" t="str">
        <x:v>SCR-00460</x:v>
      </x:c>
      <x:c r="C74" s="21" t="str">
        <x:v>OISAC_SCR00460</x:v>
      </x:c>
      <x:c r="D74" s="21" t="str">
        <x:v>OISAC_SCR00460</x:v>
      </x:c>
      <x:c r="E74" s="21" t="str"/>
      <x:c r="F74" s="21" t="str">
        <x:v>OISAC_SCR00460</x:v>
      </x:c>
      <x:c r="G74" s="21" t="str">
        <x:v>\cite{OISAC_SCR00460}</x:v>
      </x:c>
      <x:c r="H74" s="21" t="str">
        <x:v>Tang et al. (2023)</x:v>
      </x:c>
      <x:c r="I74" s="21" t="str">
        <x:v>Integrated high precision time-of-flight depth sensing and optical communication based on Hamiltonian coding</x:v>
      </x:c>
      <x:c r="J74" s="23" t="str">
        <x:v>2023</x:v>
      </x:c>
      <x:c r="K74" s="21" t="str">
        <x:v>Optics Communications</x:v>
      </x:c>
      <x:c r="L74" s="21" t="str">
        <x:v>10.1016/j.optcom.2023.129484</x:v>
      </x:c>
      <x:c r="M74" s="21" t="str">
        <x:v>RPT-SCR-00460-01</x:v>
      </x:c>
      <x:c r="N74" s="23" t="str">
        <x:v>1</x:v>
      </x:c>
      <x:c r="O74" s="23" t="str">
        <x:v>0</x:v>
      </x:c>
      <x:c r="P74" s="21" t="str">
        <x:v>RPT-SCR-00460-01</x:v>
      </x:c>
      <x:c r="Q74" s="23" t="str">
        <x:v>1</x:v>
      </x:c>
      <x:c r="R74" s="23" t="str">
        <x:v>14</x:v>
      </x:c>
      <x:c r="S74" s="23" t="str">
        <x:v>20</x:v>
      </x:c>
      <x:c r="T74" s="23" t="str">
        <x:v>2</x:v>
      </x:c>
      <x:c r="U74" s="23" t="str">
        <x:v>0</x:v>
      </x:c>
      <x:c r="V74" s="21" t="str"/>
      <x:c r="W74" s="21" t="str">
        <x:v>governed_eligible</x:v>
      </x:c>
      <x:c r="X74" s="21" t="str">
        <x:v>VLC_LiFi</x:v>
      </x:c>
      <x:c r="Y74" s="21" t="str">
        <x:v>shared_waveform; shared_hardware; shared_optical_carrier; shared_link_or_channel; shared_resource_allocation; joint_design_or_optimization</x:v>
      </x:c>
      <x:c r="Z74" s="21" t="str">
        <x:v>BPSK_optical_data_transmission; data_decoding</x:v>
      </x:c>
      <x:c r="AA74" s="21" t="str">
        <x:v>IToF_depth_sensing; ranging; depth_imaging; target_tracking</x:v>
      </x:c>
      <x:c r="AB74" s="21" t="str">
        <x:v>5</x:v>
      </x:c>
      <x:c r="AC74" s="21" t="str">
        <x:v>analytical; simulation; laboratory_experiment; prototype_testbed; mixed</x:v>
      </x:c>
      <x:c r="AD74" s="21" t="str">
        <x:v>6G_access; vehicular; smart_infrastructure</x:v>
      </x:c>
      <x:c r="AE74" s="21" t="str">
        <x:v>direct</x:v>
      </x:c>
    </x:row>
    <x:row r="75" ht="42" customHeight="1">
      <x:c r="A75" s="21" t="str">
        <x:v>STC-SINGLETON-SCR-00473</x:v>
      </x:c>
      <x:c r="B75" s="21" t="str">
        <x:v>SCR-00473</x:v>
      </x:c>
      <x:c r="C75" s="21" t="str">
        <x:v>OISAC_SCR00473</x:v>
      </x:c>
      <x:c r="D75" s="21" t="str">
        <x:v>OISAC_SCR00473</x:v>
      </x:c>
      <x:c r="E75" s="21" t="str"/>
      <x:c r="F75" s="21" t="str">
        <x:v>OISAC_SCR00473</x:v>
      </x:c>
      <x:c r="G75" s="21" t="str">
        <x:v>\cite{OISAC_SCR00473}</x:v>
      </x:c>
      <x:c r="H75" s="21" t="str">
        <x:v>Zuo et al. (2025)</x:v>
      </x:c>
      <x:c r="I75" s="21" t="str">
        <x:v>High-performance Vibration Sensing Based on Subband Phase-Shift Transform in Integrated Sensing and Communication System</x:v>
      </x:c>
      <x:c r="J75" s="23" t="str">
        <x:v>2025</x:v>
      </x:c>
      <x:c r="K75" s="21" t="str">
        <x:v>Asia Communications and Photonics Conference, ACP</x:v>
      </x:c>
      <x:c r="L75" s="21" t="str">
        <x:v>10.1109/acp66871.2025.11349802</x:v>
      </x:c>
      <x:c r="M75" s="21" t="str">
        <x:v>RPT-SCR-00473-01</x:v>
      </x:c>
      <x:c r="N75" s="23" t="str">
        <x:v>1</x:v>
      </x:c>
      <x:c r="O75" s="23" t="str">
        <x:v>0</x:v>
      </x:c>
      <x:c r="P75" s="21" t="str">
        <x:v>RPT-SCR-00473-01</x:v>
      </x:c>
      <x:c r="Q75" s="23" t="str">
        <x:v>1</x:v>
      </x:c>
      <x:c r="R75" s="23" t="str">
        <x:v>12</x:v>
      </x:c>
      <x:c r="S75" s="23" t="str">
        <x:v>15</x:v>
      </x:c>
      <x:c r="T75" s="23" t="str">
        <x:v>1</x:v>
      </x:c>
      <x:c r="U75" s="23" t="str">
        <x:v>0</x:v>
      </x:c>
      <x:c r="V75" s="21" t="str"/>
      <x:c r="W75" s="21" t="str">
        <x:v>governed_eligible</x:v>
      </x:c>
      <x:c r="X75" s="21" t="str">
        <x:v>fiber</x:v>
      </x:c>
      <x:c r="Y75" s="21" t="str">
        <x:v>shared_hardware; shared_link_or_channel; shared_resource_allocation; joint_design_or_optimization</x:v>
      </x:c>
      <x:c r="Z75" s="21" t="str">
        <x:v>100_Gbps_DP_QPSK_data_transmission</x:v>
      </x:c>
      <x:c r="AA75" s="21" t="str">
        <x:v>distributed_vibration_sensing; vibration_localization; frequency_recovery; strain_sensing</x:v>
      </x:c>
      <x:c r="AB75" s="21" t="str">
        <x:v>5</x:v>
      </x:c>
      <x:c r="AC75" s="21" t="str">
        <x:v>analytical; laboratory_experiment; prototype_testbed; mixed</x:v>
      </x:c>
      <x:c r="AD75" s="21" t="str">
        <x:v>industrial; security; smart_infrastructure</x:v>
      </x:c>
      <x:c r="AE75" s="21" t="str">
        <x:v>direct</x:v>
      </x:c>
    </x:row>
    <x:row r="76" ht="42" customHeight="1">
      <x:c r="A76" s="21" t="str">
        <x:v>STC-SINGLETON-SCR-00488</x:v>
      </x:c>
      <x:c r="B76" s="21" t="str">
        <x:v>SCR-00488</x:v>
      </x:c>
      <x:c r="C76" s="21" t="str">
        <x:v>OISAC_SCR00488</x:v>
      </x:c>
      <x:c r="D76" s="21" t="str">
        <x:v>OISAC_SCR00488</x:v>
      </x:c>
      <x:c r="E76" s="21" t="str"/>
      <x:c r="F76" s="21" t="str">
        <x:v>OISAC_SCR00488</x:v>
      </x:c>
      <x:c r="G76" s="21" t="str">
        <x:v>\cite{OISAC_SCR00488}</x:v>
      </x:c>
      <x:c r="H76" s="21" t="str">
        <x:v>Zhou et al. (2024)</x:v>
      </x:c>
      <x:c r="I76" s="21" t="str">
        <x:v>6-DoF Location-and-Pose Estimation Toward Integrated Visible Light Communication and Sensing: Algorithm Design and Performance Limits</x:v>
      </x:c>
      <x:c r="J76" s="23" t="str">
        <x:v>2024</x:v>
      </x:c>
      <x:c r="K76" s="21" t="str">
        <x:v>IEEE Transactions on Signal Processing</x:v>
      </x:c>
      <x:c r="L76" s="21" t="str">
        <x:v>10.1109/tsp.2024.3383285</x:v>
      </x:c>
      <x:c r="M76" s="21" t="str">
        <x:v>RPT-SCR-00488-01</x:v>
      </x:c>
      <x:c r="N76" s="23" t="str">
        <x:v>1</x:v>
      </x:c>
      <x:c r="O76" s="23" t="str">
        <x:v>0</x:v>
      </x:c>
      <x:c r="P76" s="21" t="str">
        <x:v>RPT-SCR-00488-01</x:v>
      </x:c>
      <x:c r="Q76" s="23" t="str">
        <x:v>1</x:v>
      </x:c>
      <x:c r="R76" s="23" t="str">
        <x:v>15</x:v>
      </x:c>
      <x:c r="S76" s="23" t="str">
        <x:v>20</x:v>
      </x:c>
      <x:c r="T76" s="23" t="str">
        <x:v>1</x:v>
      </x:c>
      <x:c r="U76" s="23" t="str">
        <x:v>0</x:v>
      </x:c>
      <x:c r="V76" s="21" t="str"/>
      <x:c r="W76" s="21" t="str">
        <x:v>governed_eligible</x:v>
      </x:c>
      <x:c r="X76" s="21" t="str">
        <x:v>VLC_LiFi</x:v>
      </x:c>
      <x:c r="Y76" s="21" t="str">
        <x:v>shared_waveform; shared_link_or_channel; joint_design_or_optimization; shared_application_scenario</x:v>
      </x:c>
      <x:c r="Z76" s="21" t="str">
        <x:v>VLC_data_carrier_role; channel_equalization</x:v>
      </x:c>
      <x:c r="AA76" s="21" t="str">
        <x:v>3D_localization; 3D_pose_estimation; six_DoF_state_estimation; channel_state_estimation</x:v>
      </x:c>
      <x:c r="AB76" s="21" t="str">
        <x:v>2</x:v>
      </x:c>
      <x:c r="AC76" s="21" t="str">
        <x:v>analytical; simulation</x:v>
      </x:c>
      <x:c r="AD76" s="21" t="str">
        <x:v>indoor_positioning</x:v>
      </x:c>
      <x:c r="AE76" s="21" t="str">
        <x:v>direct</x:v>
      </x:c>
    </x:row>
    <x:row r="77" ht="42" customHeight="1">
      <x:c r="A77" s="21" t="str">
        <x:v>STC-SINGLETON-SCR-00492</x:v>
      </x:c>
      <x:c r="B77" s="21" t="str">
        <x:v>SCR-00492</x:v>
      </x:c>
      <x:c r="C77" s="21" t="str">
        <x:v>OISAC_SCR00492</x:v>
      </x:c>
      <x:c r="D77" s="21" t="str">
        <x:v>OISAC_SCR00492</x:v>
      </x:c>
      <x:c r="E77" s="21" t="str"/>
      <x:c r="F77" s="21" t="str">
        <x:v>OISAC_SCR00492</x:v>
      </x:c>
      <x:c r="G77" s="21" t="str">
        <x:v>\cite{OISAC_SCR00492}</x:v>
      </x:c>
      <x:c r="H77" s="21" t="str">
        <x:v>Liu et al. (2024)</x:v>
      </x:c>
      <x:c r="I77" s="21" t="str">
        <x:v>Millimeter-wave over fiber integrated sensing and communication system using self-coherent OFDM</x:v>
      </x:c>
      <x:c r="J77" s="23" t="str">
        <x:v>2024</x:v>
      </x:c>
      <x:c r="K77" s="21" t="str">
        <x:v>Optics Express</x:v>
      </x:c>
      <x:c r="L77" s="21" t="str">
        <x:v>10.1364/oe.513686</x:v>
      </x:c>
      <x:c r="M77" s="21" t="str">
        <x:v>RPT-SCR-00492-01</x:v>
      </x:c>
      <x:c r="N77" s="23" t="str">
        <x:v>1</x:v>
      </x:c>
      <x:c r="O77" s="23" t="str">
        <x:v>0</x:v>
      </x:c>
      <x:c r="P77" s="21" t="str">
        <x:v>RPT-SCR-00492-01</x:v>
      </x:c>
      <x:c r="Q77" s="23" t="str">
        <x:v>1</x:v>
      </x:c>
      <x:c r="R77" s="23" t="str">
        <x:v>15</x:v>
      </x:c>
      <x:c r="S77" s="23" t="str">
        <x:v>30</x:v>
      </x:c>
      <x:c r="T77" s="23" t="str">
        <x:v>2</x:v>
      </x:c>
      <x:c r="U77" s="23" t="str">
        <x:v>0</x:v>
      </x:c>
      <x:c r="V77" s="21" t="str"/>
      <x:c r="W77" s="21" t="str">
        <x:v>governed_eligible</x:v>
      </x:c>
      <x:c r="X77" s="21" t="str">
        <x:v>photonic_THz</x:v>
      </x:c>
      <x:c r="Y77" s="21" t="str">
        <x:v>shared_waveform; shared_hardware; shared_optical_carrier; shared_link_or_channel; shared_resource_allocation; joint_design_or_optimization; shared_application_scenario</x:v>
      </x:c>
      <x:c r="Z77" s="21" t="str">
        <x:v>high_speed_wireless_data_transmission; fiber_wireless_fronthaul</x:v>
      </x:c>
      <x:c r="AA77" s="21" t="str">
        <x:v>radar_ranging; multi_target_detection; 2D_range_azimuth_imaging</x:v>
      </x:c>
      <x:c r="AB77" s="21" t="str">
        <x:v>5</x:v>
      </x:c>
      <x:c r="AC77" s="21" t="str">
        <x:v>analytical; simulation; laboratory_experiment; prototype_testbed</x:v>
      </x:c>
      <x:c r="AD77" s="21" t="str">
        <x:v>6G_access; optical_access_network</x:v>
      </x:c>
      <x:c r="AE77" s="21" t="str">
        <x:v>direct</x:v>
      </x:c>
    </x:row>
    <x:row r="78" ht="42" customHeight="1">
      <x:c r="A78" s="21" t="str">
        <x:v>STC-SINGLETON-SCR-00496</x:v>
      </x:c>
      <x:c r="B78" s="21" t="str">
        <x:v>SCR-00496</x:v>
      </x:c>
      <x:c r="C78" s="21" t="str">
        <x:v>OISAC_SCR00496</x:v>
      </x:c>
      <x:c r="D78" s="21" t="str">
        <x:v>OISAC_SCR00496</x:v>
      </x:c>
      <x:c r="E78" s="21" t="str"/>
      <x:c r="F78" s="21" t="str">
        <x:v>OISAC_SCR00496</x:v>
      </x:c>
      <x:c r="G78" s="21" t="str">
        <x:v>\cite{OISAC_SCR00496}</x:v>
      </x:c>
      <x:c r="H78" s="21" t="str">
        <x:v>Zhang et al. (2025)</x:v>
      </x:c>
      <x:c r="I78" s="21" t="str">
        <x:v>First Demonstration of FTTR-based RFID Network for Integrated Sensing and Communication</x:v>
      </x:c>
      <x:c r="J78" s="23" t="str">
        <x:v>2025</x:v>
      </x:c>
      <x:c r="K78" s="21" t="str">
        <x:v>Asia Communications and Photonics Conference, ACP</x:v>
      </x:c>
      <x:c r="L78" s="21" t="str">
        <x:v>10.1109/acp66871.2025.11349770</x:v>
      </x:c>
      <x:c r="M78" s="21" t="str">
        <x:v>RPT-SCR-00496-01</x:v>
      </x:c>
      <x:c r="N78" s="23" t="str">
        <x:v>1</x:v>
      </x:c>
      <x:c r="O78" s="23" t="str">
        <x:v>0</x:v>
      </x:c>
      <x:c r="P78" s="21" t="str">
        <x:v>RPT-SCR-00496-01</x:v>
      </x:c>
      <x:c r="Q78" s="23" t="str">
        <x:v>1</x:v>
      </x:c>
      <x:c r="R78" s="23" t="str">
        <x:v>12</x:v>
      </x:c>
      <x:c r="S78" s="23" t="str">
        <x:v>25</x:v>
      </x:c>
      <x:c r="T78" s="23" t="str">
        <x:v>0</x:v>
      </x:c>
      <x:c r="U78" s="23" t="str">
        <x:v>0</x:v>
      </x:c>
      <x:c r="V78" s="21" t="str"/>
      <x:c r="W78" s="21" t="str">
        <x:v>governed_eligible</x:v>
      </x:c>
      <x:c r="X78" s="21" t="str">
        <x:v>fiber</x:v>
      </x:c>
      <x:c r="Y78" s="21" t="str">
        <x:v>shared_hardware; shared_link_or_channel; shared_resource_allocation; shared_application_scenario</x:v>
      </x:c>
      <x:c r="Z78" s="21" t="str">
        <x:v>FTTR_optical_access; indoor_Wi_Fi_connectivity; RFID_protocol_transport</x:v>
      </x:c>
      <x:c r="AA78" s="21" t="str">
        <x:v>RFID_tag_inventory; asset_monitoring; lost_item_alerting; coverage_extension; multi_point_positioning_potential</x:v>
      </x:c>
      <x:c r="AB78" s="21" t="str">
        <x:v>6</x:v>
      </x:c>
      <x:c r="AC78" s="21" t="str">
        <x:v>simulation; laboratory_experiment; prototype_testbed; field_experiment</x:v>
      </x:c>
      <x:c r="AD78" s="21" t="str">
        <x:v>optical_access_network</x:v>
      </x:c>
      <x:c r="AE78" s="21" t="str">
        <x:v>inferred</x:v>
      </x:c>
    </x:row>
    <x:row r="79" ht="42" customHeight="1">
      <x:c r="A79" s="21" t="str">
        <x:v>STC-SINGLETON-SCR-00502</x:v>
      </x:c>
      <x:c r="B79" s="21" t="str">
        <x:v>SCR-00502</x:v>
      </x:c>
      <x:c r="C79" s="21" t="str">
        <x:v>OISAC_SCR00502</x:v>
      </x:c>
      <x:c r="D79" s="21" t="str">
        <x:v>OISAC_SCR00502</x:v>
      </x:c>
      <x:c r="E79" s="21" t="str"/>
      <x:c r="F79" s="21" t="str">
        <x:v>OISAC_SCR00502</x:v>
      </x:c>
      <x:c r="G79" s="21" t="str">
        <x:v>\cite{OISAC_SCR00502}</x:v>
      </x:c>
      <x:c r="H79" s="21" t="str">
        <x:v>Jia et al. (2024)</x:v>
      </x:c>
      <x:c r="I79" s="21" t="str">
        <x:v>Demonstration of radar-aided flexible communication in a photonics-based W-band distributed integrated sensing and communication system for 6G</x:v>
      </x:c>
      <x:c r="J79" s="23" t="str">
        <x:v>2024</x:v>
      </x:c>
      <x:c r="K79" s="21" t="str">
        <x:v>Chinese Optics Letters</x:v>
      </x:c>
      <x:c r="L79" s="21" t="str">
        <x:v>10.3788/col202422.043901</x:v>
      </x:c>
      <x:c r="M79" s="21" t="str">
        <x:v>RPT-SCR-00502-01</x:v>
      </x:c>
      <x:c r="N79" s="23" t="str">
        <x:v>1</x:v>
      </x:c>
      <x:c r="O79" s="23" t="str">
        <x:v>0</x:v>
      </x:c>
      <x:c r="P79" s="21" t="str">
        <x:v>RPT-SCR-00502-01</x:v>
      </x:c>
      <x:c r="Q79" s="23" t="str">
        <x:v>1</x:v>
      </x:c>
      <x:c r="R79" s="23" t="str">
        <x:v>15</x:v>
      </x:c>
      <x:c r="S79" s="23" t="str">
        <x:v>60</x:v>
      </x:c>
      <x:c r="T79" s="23" t="str">
        <x:v>0</x:v>
      </x:c>
      <x:c r="U79" s="23" t="str">
        <x:v>0</x:v>
      </x:c>
      <x:c r="V79" s="21" t="str"/>
      <x:c r="W79" s="21" t="str">
        <x:v>governed_eligible</x:v>
      </x:c>
      <x:c r="X79" s="21" t="str">
        <x:v>photonic_THz</x:v>
      </x:c>
      <x:c r="Y79" s="21" t="str">
        <x:v>shared_hardware; shared_optical_carrier; shared_link_or_channel; shared_resource_allocation; joint_design_or_optimization; shared_application_scenario</x:v>
      </x:c>
      <x:c r="Z79" s="21" t="str">
        <x:v>high_speed_wireless_data_transmission; fiber_wireless_fronthaul; adaptive_probabilistic_shaping; beam_aligned_user_access</x:v>
      </x:c>
      <x:c r="AA79" s="21" t="str">
        <x:v>radar_ranging; user_localization; azimuth_scanning; beam_alignment; communication_link_quality_estimation</x:v>
      </x:c>
      <x:c r="AB79" s="21" t="str">
        <x:v>5</x:v>
      </x:c>
      <x:c r="AC79" s="21" t="str">
        <x:v>analytical; laboratory_experiment; prototype_testbed</x:v>
      </x:c>
      <x:c r="AD79" s="21" t="str">
        <x:v>6G_access; indoor_positioning; optical_access_network</x:v>
      </x:c>
      <x:c r="AE79" s="21" t="str">
        <x:v>direct</x:v>
      </x:c>
    </x:row>
    <x:row r="80" ht="42" customHeight="1">
      <x:c r="A80" s="21" t="str">
        <x:v>STC-SINGLETON-SCR-00506</x:v>
      </x:c>
      <x:c r="B80" s="21" t="str">
        <x:v>SCR-00506</x:v>
      </x:c>
      <x:c r="C80" s="21" t="str">
        <x:v>OISAC_SCR00506</x:v>
      </x:c>
      <x:c r="D80" s="21" t="str">
        <x:v>OISAC_SCR00506</x:v>
      </x:c>
      <x:c r="E80" s="21" t="str"/>
      <x:c r="F80" s="21" t="str">
        <x:v>OISAC_SCR00506</x:v>
      </x:c>
      <x:c r="G80" s="21" t="str">
        <x:v>\cite{OISAC_SCR00506}</x:v>
      </x:c>
      <x:c r="H80" s="21" t="str">
        <x:v>Carver et al. (2024)</x:v>
      </x:c>
      <x:c r="I80" s="21" t="str">
        <x:v>Catch Me If You Can: Laser Tethering with Highly Mobile Targets</x:v>
      </x:c>
      <x:c r="J80" s="23" t="str">
        <x:v>2024</x:v>
      </x:c>
      <x:c r="K80" s="21" t="str">
        <x:v>Proceedings of the 21st USENIX Symposium on Networked Systems Design and Implementation, NSDI 2024</x:v>
      </x:c>
      <x:c r="L80" s="21" t="str"/>
      <x:c r="M80" s="21" t="str">
        <x:v>RPT-SCR-00506-01</x:v>
      </x:c>
      <x:c r="N80" s="23" t="str">
        <x:v>1</x:v>
      </x:c>
      <x:c r="O80" s="23" t="str">
        <x:v>0</x:v>
      </x:c>
      <x:c r="P80" s="21" t="str">
        <x:v>RPT-SCR-00506-01</x:v>
      </x:c>
      <x:c r="Q80" s="23" t="str">
        <x:v>1</x:v>
      </x:c>
      <x:c r="R80" s="23" t="str">
        <x:v>15</x:v>
      </x:c>
      <x:c r="S80" s="23" t="str">
        <x:v>12</x:v>
      </x:c>
      <x:c r="T80" s="23" t="str">
        <x:v>3</x:v>
      </x:c>
      <x:c r="U80" s="23" t="str">
        <x:v>0</x:v>
      </x:c>
      <x:c r="V80" s="21" t="str"/>
      <x:c r="W80" s="21" t="str">
        <x:v>governed_eligible</x:v>
      </x:c>
      <x:c r="X80" s="21" t="str">
        <x:v>FSO</x:v>
      </x:c>
      <x:c r="Y80" s="21" t="str">
        <x:v>shared_hardware; shared_link_or_channel; joint_design_or_optimization; shared_application_scenario</x:v>
      </x:c>
      <x:c r="Z80" s="21" t="str">
        <x:v>unidirectional_FSO_data_transmission; laser_tethering</x:v>
      </x:c>
      <x:c r="AA80" s="21" t="str">
        <x:v>optical_target_detection; tracking; position_estimation; beam_alignment; monitoring</x:v>
      </x:c>
      <x:c r="AB80" s="21" t="str">
        <x:v>5</x:v>
      </x:c>
      <x:c r="AC80" s="21" t="str">
        <x:v>laboratory_experiment; prototype_testbed; mixed</x:v>
      </x:c>
      <x:c r="AD80" s="21" t="str">
        <x:v>vehicular; aerospace</x:v>
      </x:c>
      <x:c r="AE80" s="21" t="str">
        <x:v>inferred</x:v>
      </x:c>
    </x:row>
    <x:row r="81" ht="42" customHeight="1">
      <x:c r="A81" s="21" t="str">
        <x:v>STC-SINGLETON-SCR-00527</x:v>
      </x:c>
      <x:c r="B81" s="21" t="str">
        <x:v>SCR-00527</x:v>
      </x:c>
      <x:c r="C81" s="21" t="str">
        <x:v>OISAC_SCR00527</x:v>
      </x:c>
      <x:c r="D81" s="21" t="str">
        <x:v>OISAC_SCR00527</x:v>
      </x:c>
      <x:c r="E81" s="21" t="str"/>
      <x:c r="F81" s="21" t="str">
        <x:v>OISAC_SCR00527</x:v>
      </x:c>
      <x:c r="G81" s="21" t="str">
        <x:v>\cite{OISAC_SCR00527}</x:v>
      </x:c>
      <x:c r="H81" s="21" t="str">
        <x:v>Shi et al. (2023)</x:v>
      </x:c>
      <x:c r="I81" s="21" t="str">
        <x:v>Joint Visible Light Sensing and Communication Using m-CAP Modulation</x:v>
      </x:c>
      <x:c r="J81" s="23" t="str">
        <x:v>2023</x:v>
      </x:c>
      <x:c r="K81" s="21" t="str">
        <x:v>IEEE Transactions on Broadcasting</x:v>
      </x:c>
      <x:c r="L81" s="21" t="str">
        <x:v>10.1109/tbc.2022.3201649</x:v>
      </x:c>
      <x:c r="M81" s="21" t="str">
        <x:v>RPT-SCR-00527-01</x:v>
      </x:c>
      <x:c r="N81" s="23" t="str">
        <x:v>1</x:v>
      </x:c>
      <x:c r="O81" s="23" t="str">
        <x:v>0</x:v>
      </x:c>
      <x:c r="P81" s="21" t="str">
        <x:v>RPT-SCR-00527-01</x:v>
      </x:c>
      <x:c r="Q81" s="23" t="str">
        <x:v>1</x:v>
      </x:c>
      <x:c r="R81" s="23" t="str">
        <x:v>14</x:v>
      </x:c>
      <x:c r="S81" s="23" t="str">
        <x:v>9</x:v>
      </x:c>
      <x:c r="T81" s="23" t="str">
        <x:v>4</x:v>
      </x:c>
      <x:c r="U81" s="23" t="str">
        <x:v>0</x:v>
      </x:c>
      <x:c r="V81" s="21" t="str"/>
      <x:c r="W81" s="21" t="str">
        <x:v>governed_eligible</x:v>
      </x:c>
      <x:c r="X81" s="21" t="str">
        <x:v>VLC_LiFi</x:v>
      </x:c>
      <x:c r="Y81" s="21" t="str">
        <x:v>shared_waveform; shared_hardware; shared_optical_carrier; shared_link_or_channel; shared_resource_allocation; joint_design_or_optimization; shared_application_scenario</x:v>
      </x:c>
      <x:c r="Z81" s="21" t="str">
        <x:v>indoor_VLC_data_transmission; broadcasting; signaling</x:v>
      </x:c>
      <x:c r="AA81" s="21" t="str">
        <x:v>indoor_positioning; localization; RSS_ranging</x:v>
      </x:c>
      <x:c r="AB81" s="21" t="str">
        <x:v>2</x:v>
      </x:c>
      <x:c r="AC81" s="21" t="str">
        <x:v>analytical; simulation; mixed</x:v>
      </x:c>
      <x:c r="AD81" s="21" t="str">
        <x:v>6G_access; smart_infrastructure</x:v>
      </x:c>
      <x:c r="AE81" s="21" t="str">
        <x:v>direct</x:v>
      </x:c>
    </x:row>
    <x:row r="82" ht="42" customHeight="1">
      <x:c r="A82" s="21" t="str">
        <x:v>STC-SINGLETON-SCR-00557</x:v>
      </x:c>
      <x:c r="B82" s="21" t="str">
        <x:v>SCR-00557</x:v>
      </x:c>
      <x:c r="C82" s="21" t="str">
        <x:v>OISAC_SCR00557</x:v>
      </x:c>
      <x:c r="D82" s="21" t="str">
        <x:v>OISAC_SCR00557</x:v>
      </x:c>
      <x:c r="E82" s="21" t="str"/>
      <x:c r="F82" s="21" t="str">
        <x:v>OISAC_SCR00557</x:v>
      </x:c>
      <x:c r="G82" s="21" t="str">
        <x:v>\cite{OISAC_SCR00557}</x:v>
      </x:c>
      <x:c r="H82" s="21" t="str">
        <x:v>Zhou et al. (2024)</x:v>
      </x:c>
      <x:c r="I82" s="21" t="str">
        <x:v>Visible Light Communication-Enabled Simultaneous Position and Orientation Detection for Harnessing Multipath Interference and Random Fading</x:v>
      </x:c>
      <x:c r="J82" s="23" t="str">
        <x:v>2024</x:v>
      </x:c>
      <x:c r="K82" s="21" t="str">
        <x:v>IEEE Transactions on Intelligent Transportation Systems</x:v>
      </x:c>
      <x:c r="L82" s="21" t="str">
        <x:v>10.1109/tits.2023.3324361</x:v>
      </x:c>
      <x:c r="M82" s="21" t="str">
        <x:v>RPT-SCR-00557-01</x:v>
      </x:c>
      <x:c r="N82" s="23" t="str">
        <x:v>1</x:v>
      </x:c>
      <x:c r="O82" s="23" t="str">
        <x:v>0</x:v>
      </x:c>
      <x:c r="P82" s="21" t="str">
        <x:v>RPT-SCR-00557-01</x:v>
      </x:c>
      <x:c r="Q82" s="23" t="str">
        <x:v>1</x:v>
      </x:c>
      <x:c r="R82" s="23" t="str">
        <x:v>15</x:v>
      </x:c>
      <x:c r="S82" s="23" t="str">
        <x:v>8</x:v>
      </x:c>
      <x:c r="T82" s="23" t="str">
        <x:v>0</x:v>
      </x:c>
      <x:c r="U82" s="23" t="str">
        <x:v>0</x:v>
      </x:c>
      <x:c r="V82" s="21" t="str"/>
      <x:c r="W82" s="21" t="str">
        <x:v>governed_eligible</x:v>
      </x:c>
      <x:c r="X82" s="21" t="str">
        <x:v>VLC_LiFi</x:v>
      </x:c>
      <x:c r="Y82" s="21" t="str">
        <x:v>shared_waveform; shared_hardware; shared_optical_carrier; shared_link_or_channel; joint_design_or_optimization; shared_application_scenario</x:v>
      </x:c>
      <x:c r="Z82" s="21" t="str">
        <x:v>VLC_data_transmission; pilot_signaling; multiple_access</x:v>
      </x:c>
      <x:c r="AA82" s="21" t="str">
        <x:v>simultaneous_position_and_orientation_detection; visible_light_positioning; channel_state_estimation</x:v>
      </x:c>
      <x:c r="AB82" s="21" t="str">
        <x:v>2</x:v>
      </x:c>
      <x:c r="AC82" s="21" t="str">
        <x:v>analytical; simulation; mixed</x:v>
      </x:c>
      <x:c r="AD82" s="21" t="str">
        <x:v>vehicular; industrial</x:v>
      </x:c>
      <x:c r="AE82" s="21" t="str">
        <x:v>direct</x:v>
      </x:c>
    </x:row>
    <x:row r="83" ht="42" customHeight="1">
      <x:c r="A83" s="21" t="str">
        <x:v>STC-SINGLETON-SCR-00576</x:v>
      </x:c>
      <x:c r="B83" s="21" t="str">
        <x:v>SCR-00576</x:v>
      </x:c>
      <x:c r="C83" s="21" t="str">
        <x:v>OISAC_SCR00576</x:v>
      </x:c>
      <x:c r="D83" s="21" t="str">
        <x:v>OISAC_SCR00576</x:v>
      </x:c>
      <x:c r="E83" s="21" t="str"/>
      <x:c r="F83" s="21" t="str">
        <x:v>OISAC_SCR00576</x:v>
      </x:c>
      <x:c r="G83" s="21" t="str">
        <x:v>\cite{OISAC_SCR00576}</x:v>
      </x:c>
      <x:c r="H83" s="21" t="str">
        <x:v>Hai et al. (2023)</x:v>
      </x:c>
      <x:c r="I83" s="21" t="str">
        <x:v>Remote Phase-Shift LiDAR With Communication</x:v>
      </x:c>
      <x:c r="J83" s="23" t="str">
        <x:v>2023</x:v>
      </x:c>
      <x:c r="K83" s="21" t="str">
        <x:v>IEEE Transactions on Communications</x:v>
      </x:c>
      <x:c r="L83" s="21" t="str">
        <x:v>10.1109/tcomm.2023.3233962</x:v>
      </x:c>
      <x:c r="M83" s="21" t="str">
        <x:v>RPT-SCR-00576-01</x:v>
      </x:c>
      <x:c r="N83" s="23" t="str">
        <x:v>1</x:v>
      </x:c>
      <x:c r="O83" s="23" t="str">
        <x:v>0</x:v>
      </x:c>
      <x:c r="P83" s="21" t="str">
        <x:v>RPT-SCR-00576-01</x:v>
      </x:c>
      <x:c r="Q83" s="23" t="str">
        <x:v>1</x:v>
      </x:c>
      <x:c r="R83" s="23" t="str">
        <x:v>16</x:v>
      </x:c>
      <x:c r="S83" s="23" t="str">
        <x:v>14</x:v>
      </x:c>
      <x:c r="T83" s="23" t="str">
        <x:v>4</x:v>
      </x:c>
      <x:c r="U83" s="23" t="str">
        <x:v>0</x:v>
      </x:c>
      <x:c r="V83" s="21" t="str"/>
      <x:c r="W83" s="21" t="str">
        <x:v>governed_eligible</x:v>
      </x:c>
      <x:c r="X83" s="21" t="str">
        <x:v>FSO</x:v>
      </x:c>
      <x:c r="Y83" s="21" t="str">
        <x:v>shared_waveform; shared_hardware; shared_optical_carrier; shared_link_or_channel; shared_resource_allocation; joint_design_or_optimization; shared_application_scenario</x:v>
      </x:c>
      <x:c r="Z83" s="21" t="str">
        <x:v>FSO_data_transmission; direct_sequence_spread_spectrum; transmitter_identification</x:v>
      </x:c>
      <x:c r="AA83" s="21" t="str">
        <x:v>LiDAR_ranging; distance_estimation; phase_shift_measurement; range_ambiguity_resolution</x:v>
      </x:c>
      <x:c r="AB83" s="21" t="str">
        <x:v>4</x:v>
      </x:c>
      <x:c r="AC83" s="21" t="str">
        <x:v>analytical; simulation; laboratory_experiment; mixed</x:v>
      </x:c>
      <x:c r="AD83" s="21" t="str">
        <x:v>vehicular; industrial; aerospace</x:v>
      </x:c>
      <x:c r="AE83" s="21" t="str">
        <x:v>inferred</x:v>
      </x:c>
    </x:row>
    <x:row r="84" ht="42" customHeight="1">
      <x:c r="A84" s="21" t="str">
        <x:v>STC-SINGLETON-SCR-00589</x:v>
      </x:c>
      <x:c r="B84" s="21" t="str">
        <x:v>SCR-00589</x:v>
      </x:c>
      <x:c r="C84" s="21" t="str">
        <x:v>OISAC_SCR00589</x:v>
      </x:c>
      <x:c r="D84" s="21" t="str">
        <x:v>OISAC_SCR00589</x:v>
      </x:c>
      <x:c r="E84" s="21" t="str"/>
      <x:c r="F84" s="21" t="str">
        <x:v>OISAC_SCR00589</x:v>
      </x:c>
      <x:c r="G84" s="21" t="str">
        <x:v>\cite{OISAC_SCR00589}</x:v>
      </x:c>
      <x:c r="H84" s="21" t="str">
        <x:v>Chen et al. (2024)</x:v>
      </x:c>
      <x:c r="I84" s="21" t="str">
        <x:v>Deep Integration Between Polarimetric Forward-Transmission Fiber-Optic Communication and Distributed Sensing Systems</x:v>
      </x:c>
      <x:c r="J84" s="23" t="str">
        <x:v>2024</x:v>
      </x:c>
      <x:c r="K84" s="21" t="str">
        <x:v>Sensors</x:v>
      </x:c>
      <x:c r="L84" s="21" t="str">
        <x:v>10.3390/s24216778</x:v>
      </x:c>
      <x:c r="M84" s="21" t="str">
        <x:v>RPT-SCR-00589-01</x:v>
      </x:c>
      <x:c r="N84" s="23" t="str">
        <x:v>1</x:v>
      </x:c>
      <x:c r="O84" s="23" t="str">
        <x:v>0</x:v>
      </x:c>
      <x:c r="P84" s="21" t="str">
        <x:v>RPT-SCR-00589-01</x:v>
      </x:c>
      <x:c r="Q84" s="23" t="str">
        <x:v>1</x:v>
      </x:c>
      <x:c r="R84" s="23" t="str">
        <x:v>15</x:v>
      </x:c>
      <x:c r="S84" s="23" t="str">
        <x:v>28</x:v>
      </x:c>
      <x:c r="T84" s="23" t="str">
        <x:v>2</x:v>
      </x:c>
      <x:c r="U84" s="23" t="str">
        <x:v>0</x:v>
      </x:c>
      <x:c r="V84" s="21" t="str"/>
      <x:c r="W84" s="21" t="str">
        <x:v>governed_eligible</x:v>
      </x:c>
      <x:c r="X84" s="21" t="str">
        <x:v>fiber</x:v>
      </x:c>
      <x:c r="Y84" s="21" t="str">
        <x:v>shared_waveform; shared_hardware; shared_link_or_channel</x:v>
      </x:c>
      <x:c r="Z84" s="21" t="str">
        <x:v>300_Mbps_2_PolSK_data_transmission; binary_data_recovery</x:v>
      </x:c>
      <x:c r="AA84" s="21" t="str">
        <x:v>distributed_vibration_sensing; single_and_multi_point_localization; vibration_frequency_recovery; strain_detection</x:v>
      </x:c>
      <x:c r="AB84" s="21" t="str">
        <x:v>5</x:v>
      </x:c>
      <x:c r="AC84" s="21" t="str">
        <x:v>analytical; laboratory_experiment; prototype_testbed; mixed</x:v>
      </x:c>
      <x:c r="AD84" s="21" t="str">
        <x:v>security; environment_monitoring; healthcare; smart_infrastructure</x:v>
      </x:c>
      <x:c r="AE84" s="21" t="str">
        <x:v>direct</x:v>
      </x:c>
    </x:row>
    <x:row r="85" ht="42" customHeight="1">
      <x:c r="A85" s="21" t="str">
        <x:v>STC-SINGLETON-SCR-00594</x:v>
      </x:c>
      <x:c r="B85" s="21" t="str">
        <x:v>SCR-00594</x:v>
      </x:c>
      <x:c r="C85" s="21" t="str">
        <x:v>OISAC_SCR00594</x:v>
      </x:c>
      <x:c r="D85" s="21" t="str">
        <x:v>OISAC_SCR00594</x:v>
      </x:c>
      <x:c r="E85" s="21" t="str"/>
      <x:c r="F85" s="21" t="str">
        <x:v>OISAC_SCR00594</x:v>
      </x:c>
      <x:c r="G85" s="21" t="str">
        <x:v>\cite{OISAC_SCR00594}</x:v>
      </x:c>
      <x:c r="H85" s="21" t="str">
        <x:v>Chen et al. (2025)</x:v>
      </x:c>
      <x:c r="I85" s="21" t="str">
        <x:v>Wide-Steering Integrated Sensing and Communication OPA-Based Lidar Design with Joint Waveform and Thinned Antenna</x:v>
      </x:c>
      <x:c r="J85" s="23" t="str">
        <x:v>2025</x:v>
      </x:c>
      <x:c r="K85" s="21" t="str">
        <x:v>Opto-Electronics and Communications Conference, OECC</x:v>
      </x:c>
      <x:c r="L85" s="21" t="str">
        <x:v>10.23919/oecc/psc62146.2025.11111436</x:v>
      </x:c>
      <x:c r="M85" s="21" t="str">
        <x:v>RPT-SCR-00594-01</x:v>
      </x:c>
      <x:c r="N85" s="23" t="str">
        <x:v>1</x:v>
      </x:c>
      <x:c r="O85" s="23" t="str">
        <x:v>0</x:v>
      </x:c>
      <x:c r="P85" s="21" t="str">
        <x:v>RPT-SCR-00594-01</x:v>
      </x:c>
      <x:c r="Q85" s="23" t="str">
        <x:v>1</x:v>
      </x:c>
      <x:c r="R85" s="23" t="str">
        <x:v>13</x:v>
      </x:c>
      <x:c r="S85" s="23" t="str">
        <x:v>20</x:v>
      </x:c>
      <x:c r="T85" s="23" t="str">
        <x:v>0</x:v>
      </x:c>
      <x:c r="U85" s="23" t="str">
        <x:v>0</x:v>
      </x:c>
      <x:c r="V85" s="21" t="str"/>
      <x:c r="W85" s="21" t="str">
        <x:v>governed_eligible</x:v>
      </x:c>
      <x:c r="X85" s="21" t="str">
        <x:v>FSO</x:v>
      </x:c>
      <x:c r="Y85" s="21" t="str">
        <x:v>shared_waveform; shared_hardware; joint_design_or_optimization</x:v>
      </x:c>
      <x:c r="Z85" s="21" t="str">
        <x:v>4_Gbps_QPSK_optical_wireless_communication; data_recovery</x:v>
      </x:c>
      <x:c r="AA85" s="21" t="str">
        <x:v>LiDAR_range_estimation; radial_velocity_estimation; beam_steering</x:v>
      </x:c>
      <x:c r="AB85" s="21" t="str">
        <x:v>2</x:v>
      </x:c>
      <x:c r="AC85" s="21" t="str">
        <x:v>analytical; simulation; mixed</x:v>
      </x:c>
      <x:c r="AD85" s="21" t="str">
        <x:v>6G_access; vehicular</x:v>
      </x:c>
      <x:c r="AE85" s="21" t="str">
        <x:v>direct</x:v>
      </x:c>
    </x:row>
    <x:row r="86" ht="42" customHeight="1">
      <x:c r="A86" s="21" t="str">
        <x:v>STC-SINGLETON-SCR-00602</x:v>
      </x:c>
      <x:c r="B86" s="21" t="str">
        <x:v>SCR-00602</x:v>
      </x:c>
      <x:c r="C86" s="21" t="str">
        <x:v>OISAC_SCR00602</x:v>
      </x:c>
      <x:c r="D86" s="21" t="str">
        <x:v>OISAC_SCR00602</x:v>
      </x:c>
      <x:c r="E86" s="21" t="str"/>
      <x:c r="F86" s="21" t="str">
        <x:v>OISAC_SCR00602</x:v>
      </x:c>
      <x:c r="G86" s="21" t="str">
        <x:v>\cite{OISAC_SCR00602}</x:v>
      </x:c>
      <x:c r="H86" s="21" t="str">
        <x:v>Yu et al. (2024)</x:v>
      </x:c>
      <x:c r="I86" s="21" t="str">
        <x:v>Photonics-assisted self-interference cancellation for in-band full-duplex integrated sensing and communication transceiver</x:v>
      </x:c>
      <x:c r="J86" s="23" t="str">
        <x:v>2024</x:v>
      </x:c>
      <x:c r="K86" s="21" t="str">
        <x:v>Optics Express</x:v>
      </x:c>
      <x:c r="L86" s="21" t="str">
        <x:v>10.1364/oe.541229</x:v>
      </x:c>
      <x:c r="M86" s="21" t="str">
        <x:v>RPT-SCR-00602-01</x:v>
      </x:c>
      <x:c r="N86" s="23" t="str">
        <x:v>1</x:v>
      </x:c>
      <x:c r="O86" s="23" t="str">
        <x:v>0</x:v>
      </x:c>
      <x:c r="P86" s="21" t="str">
        <x:v>RPT-SCR-00602-01</x:v>
      </x:c>
      <x:c r="Q86" s="23" t="str">
        <x:v>1</x:v>
      </x:c>
      <x:c r="R86" s="23" t="str">
        <x:v>17</x:v>
      </x:c>
      <x:c r="S86" s="23" t="str">
        <x:v>27</x:v>
      </x:c>
      <x:c r="T86" s="23" t="str">
        <x:v>1</x:v>
      </x:c>
      <x:c r="U86" s="23" t="str">
        <x:v>0</x:v>
      </x:c>
      <x:c r="V86" s="21" t="str"/>
      <x:c r="W86" s="21" t="str">
        <x:v>governed_eligible</x:v>
      </x:c>
      <x:c r="X86" s="21" t="str">
        <x:v>photonic_THz</x:v>
      </x:c>
      <x:c r="Y86" s="21" t="str">
        <x:v>shared_waveform; shared_hardware; shared_resource_allocation; joint_design_or_optimization</x:v>
      </x:c>
      <x:c r="Z86" s="21" t="str">
        <x:v>in_band_full_duplex_uplink_and_downlink; 16_QAM_and_64_QAM_CE_OFDM_recovery; radio_over_fiber</x:v>
      </x:c>
      <x:c r="AA86" s="21" t="str">
        <x:v>FMCW_ranging; blind_range_suppression; ISAR_imaging; target_resolution</x:v>
      </x:c>
      <x:c r="AB86" s="21" t="str">
        <x:v>5</x:v>
      </x:c>
      <x:c r="AC86" s="21" t="str">
        <x:v>analytical; laboratory_experiment; prototype_testbed; mixed</x:v>
      </x:c>
      <x:c r="AD86" s="21" t="str">
        <x:v>6G_access</x:v>
      </x:c>
      <x:c r="AE86" s="21" t="str">
        <x:v>direct</x:v>
      </x:c>
    </x:row>
    <x:row r="87" ht="42" customHeight="1">
      <x:c r="A87" s="21" t="str">
        <x:v>STC-SINGLETON-SCR-00607</x:v>
      </x:c>
      <x:c r="B87" s="21" t="str">
        <x:v>SCR-00607</x:v>
      </x:c>
      <x:c r="C87" s="21" t="str">
        <x:v>OISAC_SCR00607</x:v>
      </x:c>
      <x:c r="D87" s="21" t="str">
        <x:v>OISAC_SCR00607</x:v>
      </x:c>
      <x:c r="E87" s="21" t="str"/>
      <x:c r="F87" s="21" t="str">
        <x:v>OISAC_SCR00607</x:v>
      </x:c>
      <x:c r="G87" s="21" t="str">
        <x:v>\cite{OISAC_SCR00607}</x:v>
      </x:c>
      <x:c r="H87" s="21" t="str">
        <x:v>Xu et al. (2024)</x:v>
      </x:c>
      <x:c r="I87" s="21" t="str">
        <x:v>Integrated Distributed Sensing and Quantum Communication Networks</x:v>
      </x:c>
      <x:c r="J87" s="23" t="str">
        <x:v>2024</x:v>
      </x:c>
      <x:c r="K87" s="21" t="str">
        <x:v>Research</x:v>
      </x:c>
      <x:c r="L87" s="21" t="str">
        <x:v>10.34133/research.0416</x:v>
      </x:c>
      <x:c r="M87" s="21" t="str">
        <x:v>RPT-SCR-00607-01</x:v>
      </x:c>
      <x:c r="N87" s="23" t="str">
        <x:v>1</x:v>
      </x:c>
      <x:c r="O87" s="23" t="str">
        <x:v>0</x:v>
      </x:c>
      <x:c r="P87" s="21" t="str">
        <x:v>RPT-SCR-00607-01</x:v>
      </x:c>
      <x:c r="Q87" s="23" t="str">
        <x:v>1</x:v>
      </x:c>
      <x:c r="R87" s="23" t="str">
        <x:v>14</x:v>
      </x:c>
      <x:c r="S87" s="23" t="str">
        <x:v>22</x:v>
      </x:c>
      <x:c r="T87" s="23" t="str">
        <x:v>1</x:v>
      </x:c>
      <x:c r="U87" s="23" t="str">
        <x:v>0</x:v>
      </x:c>
      <x:c r="V87" s="21" t="str"/>
      <x:c r="W87" s="21" t="str">
        <x:v>governed_eligible</x:v>
      </x:c>
      <x:c r="X87" s="21" t="str">
        <x:v>fiber</x:v>
      </x:c>
      <x:c r="Y87" s="21" t="str">
        <x:v>shared_waveform; shared_hardware; shared_link_or_channel; shared_resource_allocation</x:v>
      </x:c>
      <x:c r="Z87" s="21" t="str">
        <x:v>point_to_multipoint_CV_QKD; secure_key_distribution; multiband_quantum_access</x:v>
      </x:c>
      <x:c r="AA87" s="21" t="str">
        <x:v>distributed_vibration_detection; node_identification; phase_waveform_recovery; strain_sensing; event_localization_and_magnitude_estimation</x:v>
      </x:c>
      <x:c r="AB87" s="21" t="str">
        <x:v>5</x:v>
      </x:c>
      <x:c r="AC87" s="21" t="str">
        <x:v>analytical; laboratory_experiment; prototype_testbed; mixed</x:v>
      </x:c>
      <x:c r="AD87" s="21" t="str">
        <x:v>security; environment_monitoring; smart_infrastructure</x:v>
      </x:c>
      <x:c r="AE87" s="21" t="str">
        <x:v>direct</x:v>
      </x:c>
    </x:row>
    <x:row r="88" ht="42" customHeight="1">
      <x:c r="A88" s="21" t="str">
        <x:v>STC-SINGLETON-SCR-00626</x:v>
      </x:c>
      <x:c r="B88" s="21" t="str">
        <x:v>SCR-00626</x:v>
      </x:c>
      <x:c r="C88" s="21" t="str">
        <x:v>OISAC_SCR00626</x:v>
      </x:c>
      <x:c r="D88" s="21" t="str">
        <x:v>OISAC_SCR00626</x:v>
      </x:c>
      <x:c r="E88" s="21" t="str"/>
      <x:c r="F88" s="21" t="str">
        <x:v>OISAC_SCR00626</x:v>
      </x:c>
      <x:c r="G88" s="21" t="str">
        <x:v>\cite{OISAC_SCR00626}</x:v>
      </x:c>
      <x:c r="H88" s="21" t="str">
        <x:v>Chen et al. (2023)</x:v>
      </x:c>
      <x:c r="I88" s="21" t="str">
        <x:v>Learned Digital Back-Propagation for an optical-domain waveform integrated with communication and sensing</x:v>
      </x:c>
      <x:c r="J88" s="23" t="str">
        <x:v>2023</x:v>
      </x:c>
      <x:c r="K88" s="21" t="str">
        <x:v>ACM International Conference Proceeding Series</x:v>
      </x:c>
      <x:c r="L88" s="21" t="str">
        <x:v>10.1145/3638782.3638830</x:v>
      </x:c>
      <x:c r="M88" s="21" t="str">
        <x:v>RPT-SCR-00626-01</x:v>
      </x:c>
      <x:c r="N88" s="23" t="str">
        <x:v>1</x:v>
      </x:c>
      <x:c r="O88" s="23" t="str">
        <x:v>0</x:v>
      </x:c>
      <x:c r="P88" s="21" t="str">
        <x:v>RPT-SCR-00626-01</x:v>
      </x:c>
      <x:c r="Q88" s="23" t="str">
        <x:v>1</x:v>
      </x:c>
      <x:c r="R88" s="23" t="str">
        <x:v>14</x:v>
      </x:c>
      <x:c r="S88" s="23" t="str">
        <x:v>26</x:v>
      </x:c>
      <x:c r="T88" s="23" t="str">
        <x:v>1</x:v>
      </x:c>
      <x:c r="U88" s="23" t="str">
        <x:v>0</x:v>
      </x:c>
      <x:c r="V88" s="21" t="str"/>
      <x:c r="W88" s="21" t="str">
        <x:v>governed_eligible</x:v>
      </x:c>
      <x:c r="X88" s="21" t="str">
        <x:v>fiber</x:v>
      </x:c>
      <x:c r="Y88" s="21" t="str">
        <x:v>shared_waveform; shared_optical_carrier; shared_link_or_channel; joint_design_or_optimization</x:v>
      </x:c>
      <x:c r="Z88" s="21" t="str">
        <x:v>PAM4_optical_data_transmission; fiber_impairment_compensation</x:v>
      </x:c>
      <x:c r="AA88" s="21" t="str">
        <x:v>distributed_fiber_sensing_via_Rayleigh_backscatter; sensing_information_extraction_not_evaluated</x:v>
      </x:c>
      <x:c r="AB88" s="21" t="str">
        <x:v>2</x:v>
      </x:c>
      <x:c r="AC88" s="21" t="str">
        <x:v>simulation</x:v>
      </x:c>
      <x:c r="AD88" s="21" t="str">
        <x:v>6G_access; optical_access_network</x:v>
      </x:c>
      <x:c r="AE88" s="21" t="str">
        <x:v>direct</x:v>
      </x:c>
    </x:row>
    <x:row r="89" ht="42" customHeight="1">
      <x:c r="A89" s="21" t="str">
        <x:v>STC-SINGLETON-SCR-00631</x:v>
      </x:c>
      <x:c r="B89" s="21" t="str">
        <x:v>SCR-00631</x:v>
      </x:c>
      <x:c r="C89" s="21" t="str">
        <x:v>OISAC_SCR00631</x:v>
      </x:c>
      <x:c r="D89" s="21" t="str">
        <x:v>OISAC_SCR00631</x:v>
      </x:c>
      <x:c r="E89" s="21" t="str"/>
      <x:c r="F89" s="21" t="str">
        <x:v>OISAC_SCR00631</x:v>
      </x:c>
      <x:c r="G89" s="21" t="str">
        <x:v>\cite{OISAC_SCR00631}</x:v>
      </x:c>
      <x:c r="H89" s="21" t="str">
        <x:v>Zhao et al. (2024)</x:v>
      </x:c>
      <x:c r="I89" s="21" t="str">
        <x:v>Integration of endogenous sensing and communication based on photonics-enabled cellular base station networks with a spectrum fusion algorithm</x:v>
      </x:c>
      <x:c r="J89" s="23" t="str">
        <x:v>2024</x:v>
      </x:c>
      <x:c r="K89" s="21" t="str">
        <x:v>Optics Express</x:v>
      </x:c>
      <x:c r="L89" s="21" t="str">
        <x:v>10.1364/oe.533917</x:v>
      </x:c>
      <x:c r="M89" s="21" t="str">
        <x:v>RPT-SCR-00631-01</x:v>
      </x:c>
      <x:c r="N89" s="23" t="str">
        <x:v>1</x:v>
      </x:c>
      <x:c r="O89" s="23" t="str">
        <x:v>0</x:v>
      </x:c>
      <x:c r="P89" s="21" t="str">
        <x:v>RPT-SCR-00631-01</x:v>
      </x:c>
      <x:c r="Q89" s="23" t="str">
        <x:v>1</x:v>
      </x:c>
      <x:c r="R89" s="23" t="str">
        <x:v>19</x:v>
      </x:c>
      <x:c r="S89" s="23" t="str">
        <x:v>57</x:v>
      </x:c>
      <x:c r="T89" s="23" t="str">
        <x:v>2</x:v>
      </x:c>
      <x:c r="U89" s="23" t="str">
        <x:v>0</x:v>
      </x:c>
      <x:c r="V89" s="21" t="str"/>
      <x:c r="W89" s="21" t="str">
        <x:v>governed_eligible</x:v>
      </x:c>
      <x:c r="X89" s="21" t="str">
        <x:v>fiber</x:v>
      </x:c>
      <x:c r="Y89" s="21" t="str">
        <x:v>shared_waveform; shared_hardware; shared_resource_allocation; joint_design_or_optimization; shared_application_scenario</x:v>
      </x:c>
      <x:c r="Z89" s="21" t="str">
        <x:v>cellular_data_transmission; analog_radio_over_fiber_fronthaul; multi_generation_OFDM_access</x:v>
      </x:c>
      <x:c r="AA89" s="21" t="str">
        <x:v>two_dimensional_forward_looking_imaging; complex_target_imaging; point_target_resolution; target_localization; multipath_suppression</x:v>
      </x:c>
      <x:c r="AB89" s="21" t="str">
        <x:v>6</x:v>
      </x:c>
      <x:c r="AC89" s="21" t="str">
        <x:v>analytical; simulation; laboratory_experiment; prototype_testbed; field_experiment</x:v>
      </x:c>
      <x:c r="AD89" s="21" t="str">
        <x:v>6G_access; vehicular; optical_access_network</x:v>
      </x:c>
      <x:c r="AE89" s="21" t="str">
        <x:v>direct</x:v>
      </x:c>
    </x:row>
    <x:row r="90" ht="42" customHeight="1">
      <x:c r="A90" s="21" t="str">
        <x:v>STC-SINGLETON-SCR-00647</x:v>
      </x:c>
      <x:c r="B90" s="21" t="str">
        <x:v>SCR-00647</x:v>
      </x:c>
      <x:c r="C90" s="21" t="str">
        <x:v>OISAC_SCR00647</x:v>
      </x:c>
      <x:c r="D90" s="21" t="str">
        <x:v>OISAC_SCR00647</x:v>
      </x:c>
      <x:c r="E90" s="21" t="str"/>
      <x:c r="F90" s="21" t="str">
        <x:v>OISAC_SCR00647</x:v>
      </x:c>
      <x:c r="G90" s="21" t="str">
        <x:v>\cite{OISAC_SCR00647}</x:v>
      </x:c>
      <x:c r="H90" s="21" t="str">
        <x:v>He et al. (2023)</x:v>
      </x:c>
      <x:c r="I90" s="21" t="str">
        <x:v>Integrated sensing and communication in an optical fibre</x:v>
      </x:c>
      <x:c r="J90" s="23" t="str">
        <x:v>2023</x:v>
      </x:c>
      <x:c r="K90" s="21" t="str">
        <x:v>Light: Science and Applications</x:v>
      </x:c>
      <x:c r="L90" s="21" t="str">
        <x:v>10.1038/s41377-022-01067-1</x:v>
      </x:c>
      <x:c r="M90" s="21" t="str">
        <x:v>RPT-SCR-00647-01</x:v>
      </x:c>
      <x:c r="N90" s="23" t="str">
        <x:v>1</x:v>
      </x:c>
      <x:c r="O90" s="23" t="str">
        <x:v>0</x:v>
      </x:c>
      <x:c r="P90" s="21" t="str">
        <x:v>RPT-SCR-00647-01</x:v>
      </x:c>
      <x:c r="Q90" s="23" t="str">
        <x:v>1</x:v>
      </x:c>
      <x:c r="R90" s="23" t="str">
        <x:v>18</x:v>
      </x:c>
      <x:c r="S90" s="23" t="str">
        <x:v>56</x:v>
      </x:c>
      <x:c r="T90" s="23" t="str">
        <x:v>3</x:v>
      </x:c>
      <x:c r="U90" s="23" t="str">
        <x:v>0</x:v>
      </x:c>
      <x:c r="V90" s="21" t="str"/>
      <x:c r="W90" s="21" t="str">
        <x:v>governed_eligible</x:v>
      </x:c>
      <x:c r="X90" s="21" t="str">
        <x:v>fiber</x:v>
      </x:c>
      <x:c r="Y90" s="21" t="str">
        <x:v>shared_waveform; shared_hardware; shared_optical_carrier; shared_link_or_channel; shared_resource_allocation; joint_design_or_optimization</x:v>
      </x:c>
      <x:c r="Z90" s="21" t="str">
        <x:v>56_Gbit_s_PAM4_transmission; IMDD_optical_link; MAN_or_PON_transport</x:v>
      </x:c>
      <x:c r="AA90" s="21" t="str">
        <x:v>distributed_vibration_sensing; dynamic_strain_measurement; vibration_localization; broadband_frequency_recovery</x:v>
      </x:c>
      <x:c r="AB90" s="21" t="str">
        <x:v>5</x:v>
      </x:c>
      <x:c r="AC90" s="21" t="str">
        <x:v>analytical; laboratory_experiment; prototype_testbed</x:v>
      </x:c>
      <x:c r="AD90" s="21" t="str">
        <x:v>environment_monitoring</x:v>
      </x:c>
      <x:c r="AE90" s="21" t="str">
        <x:v>inferred</x:v>
      </x:c>
    </x:row>
    <x:row r="91" ht="42" customHeight="1">
      <x:c r="A91" s="21" t="str">
        <x:v>STC-SINGLETON-SCR-00665</x:v>
      </x:c>
      <x:c r="B91" s="21" t="str">
        <x:v>SCR-00665</x:v>
      </x:c>
      <x:c r="C91" s="21" t="str">
        <x:v>OISAC_SCR00665</x:v>
      </x:c>
      <x:c r="D91" s="21" t="str">
        <x:v>OISAC_SCR00665</x:v>
      </x:c>
      <x:c r="E91" s="21" t="str"/>
      <x:c r="F91" s="21" t="str">
        <x:v>OISAC_SCR00665</x:v>
      </x:c>
      <x:c r="G91" s="21" t="str">
        <x:v>\cite{OISAC_SCR00665}</x:v>
      </x:c>
      <x:c r="H91" s="21" t="str">
        <x:v>Yang et al. (2025)</x:v>
      </x:c>
      <x:c r="I91" s="21" t="str">
        <x:v>Flexible Vibration Sensing Using Kalman Smoother Integrated in ECL-Based Communication Systems</x:v>
      </x:c>
      <x:c r="J91" s="23" t="str">
        <x:v>2025</x:v>
      </x:c>
      <x:c r="K91" s="21" t="str">
        <x:v>IEEE Photonics Technology Letters</x:v>
      </x:c>
      <x:c r="L91" s="21" t="str">
        <x:v>10.1109/lpt.2025.3577173</x:v>
      </x:c>
      <x:c r="M91" s="21" t="str">
        <x:v>RPT-SCR-00665-01</x:v>
      </x:c>
      <x:c r="N91" s="23" t="str">
        <x:v>1</x:v>
      </x:c>
      <x:c r="O91" s="23" t="str">
        <x:v>0</x:v>
      </x:c>
      <x:c r="P91" s="21" t="str">
        <x:v>RPT-SCR-00665-01</x:v>
      </x:c>
      <x:c r="Q91" s="23" t="str">
        <x:v>1</x:v>
      </x:c>
      <x:c r="R91" s="23" t="str">
        <x:v>14</x:v>
      </x:c>
      <x:c r="S91" s="23" t="str">
        <x:v>28</x:v>
      </x:c>
      <x:c r="T91" s="23" t="str">
        <x:v>1</x:v>
      </x:c>
      <x:c r="U91" s="23" t="str">
        <x:v>0</x:v>
      </x:c>
      <x:c r="V91" s="21" t="str"/>
      <x:c r="W91" s="21" t="str">
        <x:v>governed_eligible</x:v>
      </x:c>
      <x:c r="X91" s="21" t="str">
        <x:v>fiber</x:v>
      </x:c>
      <x:c r="Y91" s="21" t="str">
        <x:v>shared_hardware; shared_optical_carrier; shared_link_or_channel; shared_application_scenario</x:v>
      </x:c>
      <x:c r="Z91" s="21" t="str">
        <x:v>dual_polarization_DSCM_transmission; 16_QAM_subcarrier_communication; coherent_carrier_recovery</x:v>
      </x:c>
      <x:c r="AA91" s="21" t="str">
        <x:v>fiber_vibration_detection; sinusoidal_vibration_recovery; FMCW_vibration_recovery</x:v>
      </x:c>
      <x:c r="AB91" s="21" t="str">
        <x:v>4</x:v>
      </x:c>
      <x:c r="AC91" s="21" t="str">
        <x:v>simulation; laboratory_experiment</x:v>
      </x:c>
      <x:c r="AD91" s="21" t="str">
        <x:v>environment_monitoring</x:v>
      </x:c>
      <x:c r="AE91" s="21" t="str">
        <x:v>inferred</x:v>
      </x:c>
    </x:row>
    <x:row r="92" ht="42" customHeight="1">
      <x:c r="A92" s="21" t="str">
        <x:v>STC-SINGLETON-SCR-00679</x:v>
      </x:c>
      <x:c r="B92" s="21" t="str">
        <x:v>SCR-00679</x:v>
      </x:c>
      <x:c r="C92" s="21" t="str">
        <x:v>OISAC_SCR00679</x:v>
      </x:c>
      <x:c r="D92" s="21" t="str">
        <x:v>OISAC_SCR00679</x:v>
      </x:c>
      <x:c r="E92" s="21" t="str"/>
      <x:c r="F92" s="21" t="str">
        <x:v>OISAC_SCR00679</x:v>
      </x:c>
      <x:c r="G92" s="21" t="str">
        <x:v>\cite{OISAC_SCR00679}</x:v>
      </x:c>
      <x:c r="H92" s="21" t="str">
        <x:v>Guan et al. (2024)</x:v>
      </x:c>
      <x:c r="I92" s="21" t="str">
        <x:v>A novel passive bi-directional audio over fiber transmission system with 20 Km</x:v>
      </x:c>
      <x:c r="J92" s="23" t="str">
        <x:v>2024</x:v>
      </x:c>
      <x:c r="K92" s="21" t="str">
        <x:v>Optical Fiber Technology</x:v>
      </x:c>
      <x:c r="L92" s="21" t="str">
        <x:v>10.1016/j.yofte.2024.103844</x:v>
      </x:c>
      <x:c r="M92" s="21" t="str">
        <x:v>RPT-SCR-00679-01</x:v>
      </x:c>
      <x:c r="N92" s="23" t="str">
        <x:v>1</x:v>
      </x:c>
      <x:c r="O92" s="23" t="str">
        <x:v>0</x:v>
      </x:c>
      <x:c r="P92" s="21" t="str">
        <x:v>RPT-SCR-00679-01</x:v>
      </x:c>
      <x:c r="Q92" s="23" t="str">
        <x:v>1</x:v>
      </x:c>
      <x:c r="R92" s="23" t="str">
        <x:v>13</x:v>
      </x:c>
      <x:c r="S92" s="23" t="str">
        <x:v>15</x:v>
      </x:c>
      <x:c r="T92" s="23" t="str">
        <x:v>0</x:v>
      </x:c>
      <x:c r="U92" s="23" t="str">
        <x:v>0</x:v>
      </x:c>
      <x:c r="V92" s="21" t="str"/>
      <x:c r="W92" s="21" t="str">
        <x:v>governed_eligible</x:v>
      </x:c>
      <x:c r="X92" s="21" t="str">
        <x:v>fiber</x:v>
      </x:c>
      <x:c r="Y92" s="21" t="str">
        <x:v>shared_hardware; shared_link_or_channel; shared_resource_allocation; shared_application_scenario</x:v>
      </x:c>
      <x:c r="Z92" s="21" t="str">
        <x:v>bidirectional_audio_transmission; downlink_call_audio; uplink_sensor_audio_transport; power_delivery</x:v>
      </x:c>
      <x:c r="AA92" s="21" t="str">
        <x:v>passive_acoustic_detection; sound_pressure_sensing; environmental_audio_monitoring</x:v>
      </x:c>
      <x:c r="AB92" s="21" t="str">
        <x:v>4</x:v>
      </x:c>
      <x:c r="AC92" s="21" t="str">
        <x:v>analytical; laboratory_experiment; mixed</x:v>
      </x:c>
      <x:c r="AD92" s="21" t="str">
        <x:v>industrial; security; environment_monitoring; aerospace; smart_infrastructure</x:v>
      </x:c>
      <x:c r="AE92" s="21" t="str">
        <x:v>direct</x:v>
      </x:c>
    </x:row>
    <x:row r="93" ht="42" customHeight="1">
      <x:c r="A93" s="21" t="str">
        <x:v>STC-SINGLETON-SCR-00680</x:v>
      </x:c>
      <x:c r="B93" s="21" t="str">
        <x:v>SCR-00680</x:v>
      </x:c>
      <x:c r="C93" s="21" t="str">
        <x:v>OISAC_SCR00680</x:v>
      </x:c>
      <x:c r="D93" s="21" t="str">
        <x:v>OISAC_SCR00680</x:v>
      </x:c>
      <x:c r="E93" s="21" t="str"/>
      <x:c r="F93" s="21" t="str">
        <x:v>OISAC_SCR00680</x:v>
      </x:c>
      <x:c r="G93" s="21" t="str">
        <x:v>\cite{OISAC_SCR00680}</x:v>
      </x:c>
      <x:c r="H93" s="21" t="str">
        <x:v>Zhu et al. (2024)</x:v>
      </x:c>
      <x:c r="I93" s="21" t="str">
        <x:v>Deep Integration of Fiber-Optic Communication and Sensing Systems Using Forward-Transmission Distributed Vibration Sensing and on–off Keying</x:v>
      </x:c>
      <x:c r="J93" s="23" t="str">
        <x:v>2024</x:v>
      </x:c>
      <x:c r="K93" s="21" t="str">
        <x:v>Sensors</x:v>
      </x:c>
      <x:c r="L93" s="21" t="str">
        <x:v>10.3390/s24175758</x:v>
      </x:c>
      <x:c r="M93" s="21" t="str">
        <x:v>RPT-SCR-00680-01</x:v>
      </x:c>
      <x:c r="N93" s="23" t="str">
        <x:v>1</x:v>
      </x:c>
      <x:c r="O93" s="23" t="str">
        <x:v>0</x:v>
      </x:c>
      <x:c r="P93" s="21" t="str">
        <x:v>RPT-SCR-00680-01</x:v>
      </x:c>
      <x:c r="Q93" s="23" t="str">
        <x:v>1</x:v>
      </x:c>
      <x:c r="R93" s="23" t="str">
        <x:v>13</x:v>
      </x:c>
      <x:c r="S93" s="23" t="str">
        <x:v>17</x:v>
      </x:c>
      <x:c r="T93" s="23" t="str">
        <x:v>3</x:v>
      </x:c>
      <x:c r="U93" s="23" t="str">
        <x:v>0</x:v>
      </x:c>
      <x:c r="V93" s="21" t="str"/>
      <x:c r="W93" s="21" t="str">
        <x:v>governed_eligible</x:v>
      </x:c>
      <x:c r="X93" s="21" t="str">
        <x:v>fiber</x:v>
      </x:c>
      <x:c r="Y93" s="21" t="str">
        <x:v>shared_waveform; shared_hardware; shared_optical_carrier; shared_link_or_channel; joint_design_or_optimization; shared_application_scenario</x:v>
      </x:c>
      <x:c r="Z93" s="21" t="str">
        <x:v>fiber_optic_data_transmission; bidirectional_OOK_link; pulse_code_transmission</x:v>
      </x:c>
      <x:c r="AA93" s="21" t="str">
        <x:v>distributed_vibration_sensing; vibration_localization; multi_point_event_detection; strain_measurement</x:v>
      </x:c>
      <x:c r="AB93" s="21" t="str">
        <x:v>4</x:v>
      </x:c>
      <x:c r="AC93" s="21" t="str">
        <x:v>analytical; laboratory_experiment; mixed</x:v>
      </x:c>
      <x:c r="AD93" s="21" t="str">
        <x:v>security; environment_monitoring; optical_access_network; smart_infrastructure</x:v>
      </x:c>
      <x:c r="AE93" s="21" t="str">
        <x:v>direct</x:v>
      </x:c>
    </x:row>
    <x:row r="94" ht="42" customHeight="1">
      <x:c r="A94" s="21" t="str">
        <x:v>STC-SINGLETON-SCR-00719</x:v>
      </x:c>
      <x:c r="B94" s="21" t="str">
        <x:v>SCR-00719</x:v>
      </x:c>
      <x:c r="C94" s="21" t="str">
        <x:v>OISAC_SCR00719</x:v>
      </x:c>
      <x:c r="D94" s="21" t="str">
        <x:v>OISAC_SCR00719</x:v>
      </x:c>
      <x:c r="E94" s="21" t="str"/>
      <x:c r="F94" s="21" t="str">
        <x:v>OISAC_SCR00719</x:v>
      </x:c>
      <x:c r="G94" s="21" t="str">
        <x:v>\cite{OISAC_SCR00719}</x:v>
      </x:c>
      <x:c r="H94" s="21" t="str">
        <x:v>Alzamil et al. (2024)</x:v>
      </x:c>
      <x:c r="I94" s="21" t="str">
        <x:v>Development of an Integrated Communication and Sensing System Using Spread Spectrum and Photonics Technologies</x:v>
      </x:c>
      <x:c r="J94" s="23" t="str">
        <x:v>2024</x:v>
      </x:c>
      <x:c r="K94" s="21" t="str">
        <x:v>Photonics</x:v>
      </x:c>
      <x:c r="L94" s="21" t="str">
        <x:v>10.3390/photonics11090861</x:v>
      </x:c>
      <x:c r="M94" s="21" t="str">
        <x:v>RPT-SCR-00719-01</x:v>
      </x:c>
      <x:c r="N94" s="23" t="str">
        <x:v>1</x:v>
      </x:c>
      <x:c r="O94" s="23" t="str">
        <x:v>0</x:v>
      </x:c>
      <x:c r="P94" s="21" t="str">
        <x:v>RPT-SCR-00719-01</x:v>
      </x:c>
      <x:c r="Q94" s="23" t="str">
        <x:v>1</x:v>
      </x:c>
      <x:c r="R94" s="23" t="str">
        <x:v>16</x:v>
      </x:c>
      <x:c r="S94" s="23" t="str">
        <x:v>27</x:v>
      </x:c>
      <x:c r="T94" s="23" t="str">
        <x:v>2</x:v>
      </x:c>
      <x:c r="U94" s="23" t="str">
        <x:v>0</x:v>
      </x:c>
      <x:c r="V94" s="21" t="str"/>
      <x:c r="W94" s="21" t="str">
        <x:v>governed_eligible</x:v>
      </x:c>
      <x:c r="X94" s="21" t="str">
        <x:v>fiber</x:v>
      </x:c>
      <x:c r="Y94" s="21" t="str">
        <x:v>shared_waveform; shared_hardware; shared_optical_carrier; shared_link_or_channel; shared_resource_allocation; shared_application_scenario</x:v>
      </x:c>
      <x:c r="Z94" s="21" t="str">
        <x:v>wireless_data_transmission; image_transmission; radio_over_fiber_distribution</x:v>
      </x:c>
      <x:c r="AA94" s="21" t="str">
        <x:v>radar_target_detection; target_ranging; multi_target_resolution</x:v>
      </x:c>
      <x:c r="AB94" s="21" t="str">
        <x:v>4</x:v>
      </x:c>
      <x:c r="AC94" s="21" t="str">
        <x:v>analytical; simulation; laboratory_experiment; mixed</x:v>
      </x:c>
      <x:c r="AD94" s="21" t="str">
        <x:v>6G_access; security; environment_monitoring; optical_access_network</x:v>
      </x:c>
      <x:c r="AE94" s="21" t="str">
        <x:v>direct</x:v>
      </x:c>
    </x:row>
    <x:row r="95" ht="42" customHeight="1">
      <x:c r="A95" s="21" t="str">
        <x:v>STC-SINGLETON-SCR-00730</x:v>
      </x:c>
      <x:c r="B95" s="21" t="str">
        <x:v>SCR-00730</x:v>
      </x:c>
      <x:c r="C95" s="21" t="str">
        <x:v>OISAC_SCR00730</x:v>
      </x:c>
      <x:c r="D95" s="21" t="str">
        <x:v>OISAC_SCR00730</x:v>
      </x:c>
      <x:c r="E95" s="21" t="str"/>
      <x:c r="F95" s="21" t="str">
        <x:v>OISAC_SCR00730</x:v>
      </x:c>
      <x:c r="G95" s="21" t="str">
        <x:v>\cite{OISAC_SCR00730}</x:v>
      </x:c>
      <x:c r="H95" s="21" t="str">
        <x:v>Aboltins et al. (2024)</x:v>
      </x:c>
      <x:c r="I95" s="21" t="str">
        <x:v>Continuous Event Recording Technology For Integrated Sensing And Communications In Space</x:v>
      </x:c>
      <x:c r="J95" s="23" t="str">
        <x:v>2024</x:v>
      </x:c>
      <x:c r="K95" s="21" t="str">
        <x:v>International Geoscience and Remote Sensing Symposium (IGARSS)</x:v>
      </x:c>
      <x:c r="L95" s="21" t="str">
        <x:v>10.1109/igarss53475.2024.10642111</x:v>
      </x:c>
      <x:c r="M95" s="21" t="str">
        <x:v>RPT-SCR-00730-01</x:v>
      </x:c>
      <x:c r="N95" s="23" t="str">
        <x:v>1</x:v>
      </x:c>
      <x:c r="O95" s="23" t="str">
        <x:v>0</x:v>
      </x:c>
      <x:c r="P95" s="21" t="str">
        <x:v>RPT-SCR-00730-01</x:v>
      </x:c>
      <x:c r="Q95" s="23" t="str">
        <x:v>1</x:v>
      </x:c>
      <x:c r="R95" s="23" t="str">
        <x:v>12</x:v>
      </x:c>
      <x:c r="S95" s="23" t="str">
        <x:v>15</x:v>
      </x:c>
      <x:c r="T95" s="23" t="str">
        <x:v>2</x:v>
      </x:c>
      <x:c r="U95" s="23" t="str">
        <x:v>0</x:v>
      </x:c>
      <x:c r="V95" s="21" t="str"/>
      <x:c r="W95" s="21" t="str">
        <x:v>governed_eligible</x:v>
      </x:c>
      <x:c r="X95" s="21" t="str">
        <x:v>FSO</x:v>
      </x:c>
      <x:c r="Y95" s="21" t="str">
        <x:v>shared_waveform; shared_application_scenario</x:v>
      </x:c>
      <x:c r="Z95" s="21" t="str">
        <x:v>ground_to_satellite_data_transmission; SLR_station_to_station_optical_communication</x:v>
      </x:c>
      <x:c r="AA95" s="21" t="str">
        <x:v>satellite_laser_ranging; space_debris_detection; atmospheric_lidar; photon_counting</x:v>
      </x:c>
      <x:c r="AB95" s="21" t="str">
        <x:v>6</x:v>
      </x:c>
      <x:c r="AC95" s="21" t="str">
        <x:v>analytical; simulation; field_experiment; mixed</x:v>
      </x:c>
      <x:c r="AD95" s="21" t="str">
        <x:v>environment_monitoring; aerospace</x:v>
      </x:c>
      <x:c r="AE95" s="21" t="str">
        <x:v>inferred</x:v>
      </x:c>
    </x:row>
    <x:row r="96" ht="42" customHeight="1">
      <x:c r="A96" s="21" t="str">
        <x:v>STC-SINGLETON-SCR-00761</x:v>
      </x:c>
      <x:c r="B96" s="21" t="str">
        <x:v>SCR-00761</x:v>
      </x:c>
      <x:c r="C96" s="21" t="str">
        <x:v>OISAC_SCR00761</x:v>
      </x:c>
      <x:c r="D96" s="21" t="str">
        <x:v>OISAC_SCR00761</x:v>
      </x:c>
      <x:c r="E96" s="21" t="str"/>
      <x:c r="F96" s="21" t="str">
        <x:v>OISAC_SCR00761</x:v>
      </x:c>
      <x:c r="G96" s="21" t="str">
        <x:v>\cite{OISAC_SCR00761}</x:v>
      </x:c>
      <x:c r="H96" s="21" t="str">
        <x:v>Munar-Vallespir et al. (2024)</x:v>
      </x:c>
      <x:c r="I96" s="21" t="str">
        <x:v>Joint Communication and Eavesdropper Detection on the Lossy Bosonic Channel</x:v>
      </x:c>
      <x:c r="J96" s="23" t="str">
        <x:v>2024</x:v>
      </x:c>
      <x:c r="K96" s="21" t="str">
        <x:v>Proceedings - IEEE Global Communications Conference, GLOBECOM</x:v>
      </x:c>
      <x:c r="L96" s="21" t="str">
        <x:v>10.1109/globecom52923.2024.10901161</x:v>
      </x:c>
      <x:c r="M96" s="21" t="str">
        <x:v>RPT-SCR-00761-01</x:v>
      </x:c>
      <x:c r="N96" s="23" t="str">
        <x:v>1</x:v>
      </x:c>
      <x:c r="O96" s="23" t="str">
        <x:v>0</x:v>
      </x:c>
      <x:c r="P96" s="21" t="str">
        <x:v>RPT-SCR-00761-01</x:v>
      </x:c>
      <x:c r="Q96" s="23" t="str">
        <x:v>1</x:v>
      </x:c>
      <x:c r="R96" s="23" t="str">
        <x:v>12</x:v>
      </x:c>
      <x:c r="S96" s="23" t="str">
        <x:v>14</x:v>
      </x:c>
      <x:c r="T96" s="23" t="str">
        <x:v>1</x:v>
      </x:c>
      <x:c r="U96" s="23" t="str">
        <x:v>0</x:v>
      </x:c>
      <x:c r="V96" s="21" t="str"/>
      <x:c r="W96" s="21" t="str">
        <x:v>governed_eligible</x:v>
      </x:c>
      <x:c r="X96" s="21" t="str">
        <x:v>fiber</x:v>
      </x:c>
      <x:c r="Y96" s="21" t="str">
        <x:v>shared_waveform; shared_link_or_channel</x:v>
      </x:c>
      <x:c r="Z96" s="21" t="str">
        <x:v>classical_data_transmission_over_lossy_bosonic_channel</x:v>
      </x:c>
      <x:c r="AA96" s="21" t="str">
        <x:v>eavesdropper_presence_detection; channel_state_change_detection</x:v>
      </x:c>
      <x:c r="AB96" s="21" t="str">
        <x:v>2</x:v>
      </x:c>
      <x:c r="AC96" s="21" t="str">
        <x:v>analytical; numerical_analysis</x:v>
      </x:c>
      <x:c r="AD96" s="21" t="str">
        <x:v>6G_access; security</x:v>
      </x:c>
      <x:c r="AE96" s="21" t="str">
        <x:v>inferred</x:v>
      </x:c>
    </x:row>
    <x:row r="97" ht="42" customHeight="1">
      <x:c r="A97" s="21" t="str">
        <x:v>STC-SINGLETON-SCR-00808</x:v>
      </x:c>
      <x:c r="B97" s="21" t="str">
        <x:v>SCR-00808</x:v>
      </x:c>
      <x:c r="C97" s="21" t="str">
        <x:v>OISAC_SCR00808</x:v>
      </x:c>
      <x:c r="D97" s="21" t="str">
        <x:v>OISAC_SCR00808</x:v>
      </x:c>
      <x:c r="E97" s="21" t="str"/>
      <x:c r="F97" s="21" t="str">
        <x:v>OISAC_SCR00808</x:v>
      </x:c>
      <x:c r="G97" s="21" t="str">
        <x:v>\cite{OISAC_SCR00808}</x:v>
      </x:c>
      <x:c r="H97" s="21" t="str">
        <x:v>Lei et al. (2022)</x:v>
      </x:c>
      <x:c r="I97" s="21" t="str">
        <x:v>Photonics-aided integrated sensing and communications in mmW bands based on a DC-offset QPSK-encoded LFMCW</x:v>
      </x:c>
      <x:c r="J97" s="23" t="str">
        <x:v>2022</x:v>
      </x:c>
      <x:c r="K97" s="21" t="str">
        <x:v>Optics Express</x:v>
      </x:c>
      <x:c r="L97" s="21" t="str">
        <x:v>10.1364/oe.474055</x:v>
      </x:c>
      <x:c r="M97" s="21" t="str">
        <x:v>RPT-SCR-00808-01</x:v>
      </x:c>
      <x:c r="N97" s="23" t="str">
        <x:v>1</x:v>
      </x:c>
      <x:c r="O97" s="23" t="str">
        <x:v>0</x:v>
      </x:c>
      <x:c r="P97" s="21" t="str">
        <x:v>RPT-SCR-00808-01</x:v>
      </x:c>
      <x:c r="Q97" s="23" t="str">
        <x:v>1</x:v>
      </x:c>
      <x:c r="R97" s="23" t="str">
        <x:v>15</x:v>
      </x:c>
      <x:c r="S97" s="23" t="str">
        <x:v>34</x:v>
      </x:c>
      <x:c r="T97" s="23" t="str">
        <x:v>1</x:v>
      </x:c>
      <x:c r="U97" s="23" t="str">
        <x:v>3</x:v>
      </x:c>
      <x:c r="V97" s="21" t="str"/>
      <x:c r="W97" s="21" t="str">
        <x:v>governed_eligible</x:v>
      </x:c>
      <x:c r="X97" s="21" t="str">
        <x:v>photonic_THz</x:v>
      </x:c>
      <x:c r="Y97" s="21" t="str">
        <x:v>shared_waveform; shared_hardware; shared_resource_allocation</x:v>
      </x:c>
      <x:c r="Z97" s="21" t="str">
        <x:v>millimeter_wave_downlink_data_transmission; LFMCW_pulse_compression_synchronization</x:v>
      </x:c>
      <x:c r="AA97" s="21" t="str">
        <x:v>single_target_ranging; dual_target_ranging; static_user_detection</x:v>
      </x:c>
      <x:c r="AB97" s="21" t="str">
        <x:v>5</x:v>
      </x:c>
      <x:c r="AC97" s="21" t="str">
        <x:v>analytical; simulation; laboratory_experiment; prototype_testbed</x:v>
      </x:c>
      <x:c r="AD97" s="21" t="str">
        <x:v>other</x:v>
      </x:c>
      <x:c r="AE97" s="21" t="str">
        <x:v>inferred</x:v>
      </x:c>
    </x:row>
    <x:row r="98" ht="42" customHeight="1">
      <x:c r="A98" s="21" t="str">
        <x:v>STC-SINGLETON-SCR-00833</x:v>
      </x:c>
      <x:c r="B98" s="21" t="str">
        <x:v>SCR-00833</x:v>
      </x:c>
      <x:c r="C98" s="21" t="str">
        <x:v>OISAC_SCR00833</x:v>
      </x:c>
      <x:c r="D98" s="21" t="str">
        <x:v>OISAC_SCR00833</x:v>
      </x:c>
      <x:c r="E98" s="21" t="str"/>
      <x:c r="F98" s="21" t="str">
        <x:v>OISAC_SCR00833</x:v>
      </x:c>
      <x:c r="G98" s="21" t="str">
        <x:v>\cite{OISAC_SCR00833}</x:v>
      </x:c>
      <x:c r="H98" s="21" t="str">
        <x:v>Liu et al. (2022)</x:v>
      </x:c>
      <x:c r="I98" s="21" t="str">
        <x:v>CORE-Lens: Simultaneous Communication and Object REcognition with Disentangled-GAN Cameras</x:v>
      </x:c>
      <x:c r="J98" s="23" t="str">
        <x:v>2022</x:v>
      </x:c>
      <x:c r="K98" s="21" t="str">
        <x:v>Proceedings of the Annual International Conference on Mobile Computing and Networking, MOBICOM</x:v>
      </x:c>
      <x:c r="L98" s="21" t="str">
        <x:v>10.1145/3495243.3560526</x:v>
      </x:c>
      <x:c r="M98" s="21" t="str">
        <x:v>RPT-SCR-00833-01</x:v>
      </x:c>
      <x:c r="N98" s="23" t="str">
        <x:v>1</x:v>
      </x:c>
      <x:c r="O98" s="23" t="str">
        <x:v>0</x:v>
      </x:c>
      <x:c r="P98" s="21" t="str">
        <x:v>RPT-SCR-00833-01</x:v>
      </x:c>
      <x:c r="Q98" s="23" t="str">
        <x:v>1</x:v>
      </x:c>
      <x:c r="R98" s="23" t="str">
        <x:v>16</x:v>
      </x:c>
      <x:c r="S98" s="23" t="str">
        <x:v>24</x:v>
      </x:c>
      <x:c r="T98" s="23" t="str">
        <x:v>2</x:v>
      </x:c>
      <x:c r="U98" s="23" t="str">
        <x:v>0</x:v>
      </x:c>
      <x:c r="V98" s="21" t="str"/>
      <x:c r="W98" s="21" t="str">
        <x:v>governed_eligible</x:v>
      </x:c>
      <x:c r="X98" s="21" t="str">
        <x:v>VLC_LiFi</x:v>
      </x:c>
      <x:c r="Y98" s="21" t="str">
        <x:v>shared_waveform; shared_hardware</x:v>
      </x:c>
      <x:c r="Z98" s="21" t="str">
        <x:v>reflected_optical_camera_communication; data_decoding</x:v>
      </x:c>
      <x:c r="AA98" s="21" t="str">
        <x:v>nonhuman_object_recognition</x:v>
      </x:c>
      <x:c r="AB98" s="21" t="str">
        <x:v>5</x:v>
      </x:c>
      <x:c r="AC98" s="21" t="str">
        <x:v>dataset_based; laboratory_experiment; prototype_testbed</x:v>
      </x:c>
      <x:c r="AD98" s="21" t="str">
        <x:v>other</x:v>
      </x:c>
      <x:c r="AE98" s="21" t="str">
        <x:v>inferred</x:v>
      </x:c>
    </x:row>
    <x:row r="99" ht="42" customHeight="1">
      <x:c r="A99" s="21" t="str">
        <x:v>STC-SINGLETON-SCR-00836</x:v>
      </x:c>
      <x:c r="B99" s="21" t="str">
        <x:v>SCR-00836</x:v>
      </x:c>
      <x:c r="C99" s="21" t="str">
        <x:v>OISAC_SCR00836</x:v>
      </x:c>
      <x:c r="D99" s="21" t="str">
        <x:v>OISAC_SCR00836</x:v>
      </x:c>
      <x:c r="E99" s="21" t="str"/>
      <x:c r="F99" s="21" t="str">
        <x:v>OISAC_SCR00836</x:v>
      </x:c>
      <x:c r="G99" s="21" t="str">
        <x:v>\cite{OISAC_SCR00836}</x:v>
      </x:c>
      <x:c r="H99" s="21" t="str">
        <x:v>Fragner et al. (2022)</x:v>
      </x:c>
      <x:c r="I99" s="21" t="str">
        <x:v>Integrated Sensing and Communication in the Visible Spectral Range: A Novel Closed Loop Controller</x:v>
      </x:c>
      <x:c r="J99" s="23" t="str">
        <x:v>2022</x:v>
      </x:c>
      <x:c r="K99" s="21" t="str">
        <x:v>2022 International Conference on Broadband Communications for Next Generation Networks and Multimedia Applications, CoBCom 2022</x:v>
      </x:c>
      <x:c r="L99" s="21" t="str">
        <x:v>10.1109/cobcom55489.2022.9880677</x:v>
      </x:c>
      <x:c r="M99" s="21" t="str">
        <x:v>RPT-SCR-00836-01</x:v>
      </x:c>
      <x:c r="N99" s="23" t="str">
        <x:v>1</x:v>
      </x:c>
      <x:c r="O99" s="23" t="str">
        <x:v>0</x:v>
      </x:c>
      <x:c r="P99" s="21" t="str">
        <x:v>RPT-SCR-00836-01</x:v>
      </x:c>
      <x:c r="Q99" s="23" t="str">
        <x:v>1</x:v>
      </x:c>
      <x:c r="R99" s="23" t="str">
        <x:v>12</x:v>
      </x:c>
      <x:c r="S99" s="23" t="str">
        <x:v>20</x:v>
      </x:c>
      <x:c r="T99" s="23" t="str">
        <x:v>2</x:v>
      </x:c>
      <x:c r="U99" s="23" t="str">
        <x:v>0</x:v>
      </x:c>
      <x:c r="V99" s="21" t="str"/>
      <x:c r="W99" s="21" t="str">
        <x:v>governed_eligible</x:v>
      </x:c>
      <x:c r="X99" s="21" t="str">
        <x:v>VLC_LiFi</x:v>
      </x:c>
      <x:c r="Y99" s="21" t="str">
        <x:v>shared_hardware; shared_resource_allocation</x:v>
      </x:c>
      <x:c r="Z99" s="21" t="str">
        <x:v>frequency_modulated_visible_light_control_commands; servo_direction_speed_and_stop_control</x:v>
      </x:c>
      <x:c r="AA99" s="21" t="str">
        <x:v>backscattered_visible_light_rotation_angle_estimation; closed_loop_position_feedback; ambient_light_compensation</x:v>
      </x:c>
      <x:c r="AB99" s="21" t="str">
        <x:v>5</x:v>
      </x:c>
      <x:c r="AC99" s="21" t="str">
        <x:v>laboratory_experiment; prototype_testbed</x:v>
      </x:c>
      <x:c r="AD99" s="21" t="str">
        <x:v>6G_access; industrial</x:v>
      </x:c>
      <x:c r="AE99" s="21" t="str">
        <x:v>direct</x:v>
      </x:c>
    </x:row>
    <x:row r="100" ht="42" customHeight="1">
      <x:c r="A100" s="21" t="str">
        <x:v>STC-SINGLETON-SCR-00873</x:v>
      </x:c>
      <x:c r="B100" s="21" t="str">
        <x:v>SCR-00873</x:v>
      </x:c>
      <x:c r="C100" s="21" t="str">
        <x:v>OISAC_SCR00873</x:v>
      </x:c>
      <x:c r="D100" s="21" t="str">
        <x:v>OISAC_SCR00873</x:v>
      </x:c>
      <x:c r="E100" s="21" t="str"/>
      <x:c r="F100" s="21" t="str">
        <x:v>OISAC_SCR00873</x:v>
      </x:c>
      <x:c r="G100" s="21" t="str">
        <x:v>\cite{OISAC_SCR00873}</x:v>
      </x:c>
      <x:c r="H100" s="21" t="str">
        <x:v>Jia et al. (2022)</x:v>
      </x:c>
      <x:c r="I100" s="21" t="str">
        <x:v>Monolithically Integrated Sensing, Communication, and Energy Harvester</x:v>
      </x:c>
      <x:c r="J100" s="23" t="str">
        <x:v>2022</x:v>
      </x:c>
      <x:c r="K100" s="21" t="str">
        <x:v>Energy Technology</x:v>
      </x:c>
      <x:c r="L100" s="21" t="str">
        <x:v>10.1002/ente.202100793</x:v>
      </x:c>
      <x:c r="M100" s="21" t="str">
        <x:v>RPT-SCR-00873-01</x:v>
      </x:c>
      <x:c r="N100" s="23" t="str">
        <x:v>1</x:v>
      </x:c>
      <x:c r="O100" s="23" t="str">
        <x:v>0</x:v>
      </x:c>
      <x:c r="P100" s="21" t="str">
        <x:v>RPT-SCR-00873-01</x:v>
      </x:c>
      <x:c r="Q100" s="23" t="str">
        <x:v>1</x:v>
      </x:c>
      <x:c r="R100" s="23" t="str">
        <x:v>12</x:v>
      </x:c>
      <x:c r="S100" s="23" t="str">
        <x:v>26</x:v>
      </x:c>
      <x:c r="T100" s="23" t="str">
        <x:v>0</x:v>
      </x:c>
      <x:c r="U100" s="23" t="str">
        <x:v>0</x:v>
      </x:c>
      <x:c r="V100" s="21" t="str"/>
      <x:c r="W100" s="21" t="str">
        <x:v>governed_eligible</x:v>
      </x:c>
      <x:c r="X100" s="21" t="str">
        <x:v>VLC_LiFi</x:v>
      </x:c>
      <x:c r="Y100" s="21" t="str">
        <x:v>shared_hardware</x:v>
      </x:c>
      <x:c r="Z100" s="21" t="str">
        <x:v>PRBS_visible_light_relay; analog_audio_optical_relay; two_receiver_superimposed_signal_relay</x:v>
      </x:c>
      <x:c r="AA100" s="21" t="str">
        <x:v>optical_signal_detection; multi_receiver_information_collection</x:v>
      </x:c>
      <x:c r="AB100" s="21" t="str">
        <x:v>5</x:v>
      </x:c>
      <x:c r="AC100" s="21" t="str">
        <x:v>laboratory_experiment; prototype_testbed</x:v>
      </x:c>
      <x:c r="AD100" s="21" t="str">
        <x:v>other</x:v>
      </x:c>
      <x:c r="AE100" s="21" t="str">
        <x:v>inferred</x:v>
      </x:c>
    </x:row>
    <x:row r="101" ht="42" customHeight="1">
      <x:c r="A101" s="21" t="str">
        <x:v>STC-SINGLETON-SCR-00882</x:v>
      </x:c>
      <x:c r="B101" s="21" t="str">
        <x:v>SCR-00882</x:v>
      </x:c>
      <x:c r="C101" s="21" t="str">
        <x:v>OISAC_SCR00882</x:v>
      </x:c>
      <x:c r="D101" s="21" t="str">
        <x:v>OISAC_SCR00882</x:v>
      </x:c>
      <x:c r="E101" s="21" t="str"/>
      <x:c r="F101" s="21" t="str">
        <x:v>OISAC_SCR00882</x:v>
      </x:c>
      <x:c r="G101" s="21" t="str">
        <x:v>\cite{OISAC_SCR00882}</x:v>
      </x:c>
      <x:c r="H101" s="21" t="str">
        <x:v>Reddy et al. (2024)</x:v>
      </x:c>
      <x:c r="I101" s="21" t="str">
        <x:v>Performance Analysis of Microwave Photonics Assisted Joint Radar Communications</x:v>
      </x:c>
      <x:c r="J101" s="23" t="str">
        <x:v>2024</x:v>
      </x:c>
      <x:c r="K101" s="21" t="str">
        <x:v>2024 International Conference on Wireless Communications, Signal Processing and Networking, WiSPNET 2024</x:v>
      </x:c>
      <x:c r="L101" s="21" t="str">
        <x:v>10.1109/wispnet61464.2024.10533153</x:v>
      </x:c>
      <x:c r="M101" s="21" t="str">
        <x:v>RPT-SCR-00882-01</x:v>
      </x:c>
      <x:c r="N101" s="23" t="str">
        <x:v>1</x:v>
      </x:c>
      <x:c r="O101" s="23" t="str">
        <x:v>0</x:v>
      </x:c>
      <x:c r="P101" s="21" t="str">
        <x:v>RPT-SCR-00882-01</x:v>
      </x:c>
      <x:c r="Q101" s="23" t="str">
        <x:v>1</x:v>
      </x:c>
      <x:c r="R101" s="23" t="str">
        <x:v>12</x:v>
      </x:c>
      <x:c r="S101" s="23" t="str">
        <x:v>24</x:v>
      </x:c>
      <x:c r="T101" s="23" t="str">
        <x:v>0</x:v>
      </x:c>
      <x:c r="U101" s="23" t="str">
        <x:v>0</x:v>
      </x:c>
      <x:c r="V101" s="21" t="str"/>
      <x:c r="W101" s="21" t="str">
        <x:v>governed_eligible</x:v>
      </x:c>
      <x:c r="X101" s="21" t="str">
        <x:v>photonic_THz</x:v>
      </x:c>
      <x:c r="Y101" s="21" t="str">
        <x:v>shared_waveform; shared_resource_allocation</x:v>
      </x:c>
      <x:c r="Z101" s="21" t="str">
        <x:v>QPSK_data_transmission; matched_filter_demodulation</x:v>
      </x:c>
      <x:c r="AA101" s="21" t="str">
        <x:v>target_range_estimation; target_velocity_estimation; motion_direction_classification</x:v>
      </x:c>
      <x:c r="AB101" s="21" t="str">
        <x:v>2</x:v>
      </x:c>
      <x:c r="AC101" s="21" t="str">
        <x:v>analytical; simulation</x:v>
      </x:c>
      <x:c r="AD101" s="21" t="str">
        <x:v>6G_access</x:v>
      </x:c>
      <x:c r="AE101" s="21" t="str">
        <x:v>direct</x:v>
      </x:c>
    </x:row>
    <x:row r="102" ht="42" customHeight="1">
      <x:c r="A102" s="21" t="str">
        <x:v>STC-SINGLETON-SCR-00884</x:v>
      </x:c>
      <x:c r="B102" s="21" t="str">
        <x:v>SCR-00884</x:v>
      </x:c>
      <x:c r="C102" s="21" t="str">
        <x:v>OISAC_SCR00884</x:v>
      </x:c>
      <x:c r="D102" s="21" t="str">
        <x:v>OISAC_SCR00884</x:v>
      </x:c>
      <x:c r="E102" s="21" t="str"/>
      <x:c r="F102" s="21" t="str">
        <x:v>OISAC_SCR00884</x:v>
      </x:c>
      <x:c r="G102" s="21" t="str">
        <x:v>\cite{OISAC_SCR00884}</x:v>
      </x:c>
      <x:c r="H102" s="21" t="str">
        <x:v>Men et al. (2023)</x:v>
      </x:c>
      <x:c r="I102" s="21" t="str">
        <x:v>Photonic-assisted generation of joint radar and communication signals with immunity to power fading</x:v>
      </x:c>
      <x:c r="J102" s="23" t="str">
        <x:v>2023</x:v>
      </x:c>
      <x:c r="K102" s="21" t="str">
        <x:v>Optics Communications</x:v>
      </x:c>
      <x:c r="L102" s="21" t="str">
        <x:v>10.1016/j.optcom.2023.129598</x:v>
      </x:c>
      <x:c r="M102" s="21" t="str">
        <x:v>RPT-SCR-00884-01</x:v>
      </x:c>
      <x:c r="N102" s="23" t="str">
        <x:v>1</x:v>
      </x:c>
      <x:c r="O102" s="23" t="str">
        <x:v>0</x:v>
      </x:c>
      <x:c r="P102" s="21" t="str">
        <x:v>RPT-SCR-00884-01</x:v>
      </x:c>
      <x:c r="Q102" s="23" t="str">
        <x:v>1</x:v>
      </x:c>
      <x:c r="R102" s="23" t="str">
        <x:v>13</x:v>
      </x:c>
      <x:c r="S102" s="23" t="str">
        <x:v>33</x:v>
      </x:c>
      <x:c r="T102" s="23" t="str">
        <x:v>2</x:v>
      </x:c>
      <x:c r="U102" s="23" t="str">
        <x:v>0</x:v>
      </x:c>
      <x:c r="V102" s="21" t="str"/>
      <x:c r="W102" s="21" t="str">
        <x:v>governed_eligible</x:v>
      </x:c>
      <x:c r="X102" s="21" t="str">
        <x:v>photonic_THz</x:v>
      </x:c>
      <x:c r="Y102" s="21" t="str">
        <x:v>shared_optical_carrier; shared_link_or_channel; shared_resource_allocation</x:v>
      </x:c>
      <x:c r="Z102" s="21" t="str">
        <x:v>16_QAM_radio_over_fiber_generation; frequency_upconversion; long_distance_fiber_transport</x:v>
      </x:c>
      <x:c r="AA102" s="21" t="str">
        <x:v>dual_chirp_radar_waveform_generation; pulse_compression</x:v>
      </x:c>
      <x:c r="AB102" s="21" t="str">
        <x:v>4</x:v>
      </x:c>
      <x:c r="AC102" s="21" t="str">
        <x:v>analytical; simulation; laboratory_experiment</x:v>
      </x:c>
      <x:c r="AD102" s="21" t="str">
        <x:v>vehicular; aerospace</x:v>
      </x:c>
      <x:c r="AE102" s="21" t="str">
        <x:v>inferred</x:v>
      </x:c>
    </x:row>
    <x:row r="103" ht="42" customHeight="1">
      <x:c r="A103" s="21" t="str">
        <x:v>STC-SINGLETON-SCR-00885</x:v>
      </x:c>
      <x:c r="B103" s="21" t="str">
        <x:v>SCR-00885</x:v>
      </x:c>
      <x:c r="C103" s="21" t="str">
        <x:v>OISAC_SCR00885</x:v>
      </x:c>
      <x:c r="D103" s="21" t="str">
        <x:v>OISAC_SCR00885</x:v>
      </x:c>
      <x:c r="E103" s="21" t="str"/>
      <x:c r="F103" s="21" t="str">
        <x:v>OISAC_SCR00885</x:v>
      </x:c>
      <x:c r="G103" s="21" t="str">
        <x:v>\cite{OISAC_SCR00885}</x:v>
      </x:c>
      <x:c r="H103" s="21" t="str">
        <x:v>Yixiao et al. (2022)</x:v>
      </x:c>
      <x:c r="I103" s="21" t="str">
        <x:v>Photonic-aid dual-formats LFM signals generator for joint radar-communication system</x:v>
      </x:c>
      <x:c r="J103" s="23" t="str">
        <x:v>2022</x:v>
      </x:c>
      <x:c r="K103" s="21" t="str">
        <x:v>Optik</x:v>
      </x:c>
      <x:c r="L103" s="21" t="str">
        <x:v>10.1016/j.ijleo.2022.170004</x:v>
      </x:c>
      <x:c r="M103" s="21" t="str">
        <x:v>RPT-SCR-00885-01</x:v>
      </x:c>
      <x:c r="N103" s="23" t="str">
        <x:v>1</x:v>
      </x:c>
      <x:c r="O103" s="23" t="str">
        <x:v>0</x:v>
      </x:c>
      <x:c r="P103" s="21" t="str">
        <x:v>RPT-SCR-00885-01</x:v>
      </x:c>
      <x:c r="Q103" s="23" t="str">
        <x:v>1</x:v>
      </x:c>
      <x:c r="R103" s="23" t="str">
        <x:v>12</x:v>
      </x:c>
      <x:c r="S103" s="23" t="str">
        <x:v>19</x:v>
      </x:c>
      <x:c r="T103" s="23" t="str">
        <x:v>4</x:v>
      </x:c>
      <x:c r="U103" s="23" t="str">
        <x:v>0</x:v>
      </x:c>
      <x:c r="V103" s="21" t="str"/>
      <x:c r="W103" s="21" t="str">
        <x:v>governed_eligible</x:v>
      </x:c>
      <x:c r="X103" s="21" t="str">
        <x:v>photonic_THz</x:v>
      </x:c>
      <x:c r="Y103" s="21" t="str">
        <x:v>shared_waveform; shared_hardware; shared_resource_allocation; joint_design_or_optimization</x:v>
      </x:c>
      <x:c r="Z103" s="21" t="str">
        <x:v>wireless_binary_data_transmission; anti_jamming_communication; optical_coherent_demodulation</x:v>
      </x:c>
      <x:c r="AA103" s="21" t="str">
        <x:v>radar_range_estimation; moving_target_detection; velocity_estimation; pulse_compression</x:v>
      </x:c>
      <x:c r="AB103" s="21" t="str">
        <x:v>2</x:v>
      </x:c>
      <x:c r="AC103" s="21" t="str">
        <x:v>analytical; simulation</x:v>
      </x:c>
      <x:c r="AD103" s="21" t="str">
        <x:v>other</x:v>
      </x:c>
      <x:c r="AE103" s="21" t="str">
        <x:v>direct</x:v>
      </x:c>
    </x:row>
    <x:row r="104" ht="42" customHeight="1">
      <x:c r="A104" s="21" t="str">
        <x:v>STC-SINGLETON-SCR-00887</x:v>
      </x:c>
      <x:c r="B104" s="21" t="str">
        <x:v>SCR-00887</x:v>
      </x:c>
      <x:c r="C104" s="21" t="str">
        <x:v>OISAC_SCR00887</x:v>
      </x:c>
      <x:c r="D104" s="21" t="str">
        <x:v>OISAC_SCR00887</x:v>
      </x:c>
      <x:c r="E104" s="21" t="str"/>
      <x:c r="F104" s="21" t="str">
        <x:v>OISAC_SCR00887</x:v>
      </x:c>
      <x:c r="G104" s="21" t="str">
        <x:v>\cite{OISAC_SCR00887}</x:v>
      </x:c>
      <x:c r="H104" s="21" t="str">
        <x:v>Yang et al. (2026)</x:v>
      </x:c>
      <x:c r="I104" s="21" t="str">
        <x:v>Microwave Photonic Joint Radar, Wireless Communications, and Spectrum Sensing System With Broadband Tunability From 12 to 40 GHz</x:v>
      </x:c>
      <x:c r="J104" s="23" t="str">
        <x:v>2026</x:v>
      </x:c>
      <x:c r="K104" s="21" t="str">
        <x:v>IEEE Internet of Things Journal</x:v>
      </x:c>
      <x:c r="L104" s="21" t="str">
        <x:v>10.1109/jiot.2026.3672154</x:v>
      </x:c>
      <x:c r="M104" s="21" t="str">
        <x:v>RPT-SCR-00887-01</x:v>
      </x:c>
      <x:c r="N104" s="23" t="str">
        <x:v>1</x:v>
      </x:c>
      <x:c r="O104" s="23" t="str">
        <x:v>0</x:v>
      </x:c>
      <x:c r="P104" s="21" t="str">
        <x:v>RPT-SCR-00887-01</x:v>
      </x:c>
      <x:c r="Q104" s="23" t="str">
        <x:v>1</x:v>
      </x:c>
      <x:c r="R104" s="23" t="str">
        <x:v>15</x:v>
      </x:c>
      <x:c r="S104" s="23" t="str">
        <x:v>24</x:v>
      </x:c>
      <x:c r="T104" s="23" t="str">
        <x:v>4</x:v>
      </x:c>
      <x:c r="U104" s="23" t="str">
        <x:v>0</x:v>
      </x:c>
      <x:c r="V104" s="21" t="str"/>
      <x:c r="W104" s="21" t="str">
        <x:v>governed_eligible</x:v>
      </x:c>
      <x:c r="X104" s="21" t="str">
        <x:v>photonic_THz</x:v>
      </x:c>
      <x:c r="Y104" s="21" t="str">
        <x:v>shared_waveform; shared_hardware; shared_resource_allocation; joint_design_or_optimization</x:v>
      </x:c>
      <x:c r="Z104" s="21" t="str">
        <x:v>free_space_wireless_ASK_data_transmission; self_mixing_envelope_demodulation</x:v>
      </x:c>
      <x:c r="AA104" s="21" t="str">
        <x:v>radar_ranging; range_resolution; spectrum_frequency_measurement; time_frequency_analysis; multitone_resolution</x:v>
      </x:c>
      <x:c r="AB104" s="21" t="str">
        <x:v>4</x:v>
      </x:c>
      <x:c r="AC104" s="21" t="str">
        <x:v>simulation; laboratory_experiment; mixed</x:v>
      </x:c>
      <x:c r="AD104" s="21" t="str">
        <x:v>industrial; smart_infrastructure</x:v>
      </x:c>
      <x:c r="AE104" s="21" t="str">
        <x:v>direct</x:v>
      </x:c>
    </x:row>
    <x:row r="105" ht="42" customHeight="1">
      <x:c r="A105" s="21" t="str">
        <x:v>STC-SINGLETON-SCR-00891</x:v>
      </x:c>
      <x:c r="B105" s="21" t="str">
        <x:v>SCR-00891</x:v>
      </x:c>
      <x:c r="C105" s="21" t="str">
        <x:v>OISAC_SCR00891</x:v>
      </x:c>
      <x:c r="D105" s="21" t="str">
        <x:v>OISAC_SCR00891</x:v>
      </x:c>
      <x:c r="E105" s="21" t="str"/>
      <x:c r="F105" s="21" t="str">
        <x:v>OISAC_SCR00891</x:v>
      </x:c>
      <x:c r="G105" s="21" t="str">
        <x:v>\cite{OISAC_SCR00891}</x:v>
      </x:c>
      <x:c r="H105" s="21" t="str">
        <x:v>Bai et al. (2022)</x:v>
      </x:c>
      <x:c r="I105" s="21" t="str">
        <x:v>Millimeter-wave joint radar and communication system based on photonic frequency-multiplying constant envelope LFM-OFDM</x:v>
      </x:c>
      <x:c r="J105" s="23" t="str">
        <x:v>2022</x:v>
      </x:c>
      <x:c r="K105" s="21" t="str">
        <x:v>Optics Express</x:v>
      </x:c>
      <x:c r="L105" s="21" t="str">
        <x:v>10.1364/oe.461508</x:v>
      </x:c>
      <x:c r="M105" s="21" t="str">
        <x:v>RPT-SCR-00891-01</x:v>
      </x:c>
      <x:c r="N105" s="23" t="str">
        <x:v>1</x:v>
      </x:c>
      <x:c r="O105" s="23" t="str">
        <x:v>0</x:v>
      </x:c>
      <x:c r="P105" s="21" t="str">
        <x:v>RPT-SCR-00891-01</x:v>
      </x:c>
      <x:c r="Q105" s="23" t="str">
        <x:v>1</x:v>
      </x:c>
      <x:c r="R105" s="23" t="str">
        <x:v>16</x:v>
      </x:c>
      <x:c r="S105" s="23" t="str">
        <x:v>35</x:v>
      </x:c>
      <x:c r="T105" s="23" t="str">
        <x:v>4</x:v>
      </x:c>
      <x:c r="U105" s="23" t="str">
        <x:v>0</x:v>
      </x:c>
      <x:c r="V105" s="21" t="str"/>
      <x:c r="W105" s="21" t="str">
        <x:v>governed_eligible</x:v>
      </x:c>
      <x:c r="X105" s="21" t="str">
        <x:v>photonic_THz</x:v>
      </x:c>
      <x:c r="Y105" s="21" t="str">
        <x:v>shared_waveform; shared_hardware; shared_resource_allocation; joint_design_or_optimization</x:v>
      </x:c>
      <x:c r="Z105" s="21" t="str">
        <x:v>wireless_OFDM_data_transmission; QAM_demodulation; BER_EVM_evaluation; anti_noise_phase_modulation</x:v>
      </x:c>
      <x:c r="AA105" s="21" t="str">
        <x:v>radar_ranging; two_target_resolution; ISAR_imaging; cross_range_imaging</x:v>
      </x:c>
      <x:c r="AB105" s="21" t="str">
        <x:v>4</x:v>
      </x:c>
      <x:c r="AC105" s="21" t="str">
        <x:v>simulation; laboratory_experiment; mixed</x:v>
      </x:c>
      <x:c r="AD105" s="21" t="str">
        <x:v>6G_access</x:v>
      </x:c>
      <x:c r="AE105" s="21" t="str">
        <x:v>direct</x:v>
      </x:c>
    </x:row>
    <x:row r="106" ht="42" customHeight="1">
      <x:c r="A106" s="21" t="str">
        <x:v>STC-SINGLETON-SCR-00893</x:v>
      </x:c>
      <x:c r="B106" s="21" t="str">
        <x:v>SCR-00893</x:v>
      </x:c>
      <x:c r="C106" s="21" t="str">
        <x:v>OISAC_SCR00893</x:v>
      </x:c>
      <x:c r="D106" s="21" t="str">
        <x:v>OISAC_SCR00893</x:v>
      </x:c>
      <x:c r="E106" s="21" t="str"/>
      <x:c r="F106" s="21" t="str">
        <x:v>OISAC_SCR00893</x:v>
      </x:c>
      <x:c r="G106" s="21" t="str">
        <x:v>\cite{OISAC_SCR00893}</x:v>
      </x:c>
      <x:c r="H106" s="21" t="str">
        <x:v>Shi et al. (2025)</x:v>
      </x:c>
      <x:c r="I106" s="21" t="str">
        <x:v>Microwave Photonic Joint Radar and Secure Communication via Radar Signal Masking</x:v>
      </x:c>
      <x:c r="J106" s="23" t="str">
        <x:v>2025</x:v>
      </x:c>
      <x:c r="K106" s="21" t="str">
        <x:v>IEEE Microwave and Wireless Technology Letters</x:v>
      </x:c>
      <x:c r="L106" s="21" t="str">
        <x:v>10.1109/lmwt.2025.3578137</x:v>
      </x:c>
      <x:c r="M106" s="21" t="str">
        <x:v>RPT-SCR-00893-01</x:v>
      </x:c>
      <x:c r="N106" s="23" t="str">
        <x:v>1</x:v>
      </x:c>
      <x:c r="O106" s="23" t="str">
        <x:v>0</x:v>
      </x:c>
      <x:c r="P106" s="21" t="str">
        <x:v>RPT-SCR-00893-01</x:v>
      </x:c>
      <x:c r="Q106" s="23" t="str">
        <x:v>1</x:v>
      </x:c>
      <x:c r="R106" s="23" t="str">
        <x:v>12</x:v>
      </x:c>
      <x:c r="S106" s="23" t="str">
        <x:v>18</x:v>
      </x:c>
      <x:c r="T106" s="23" t="str">
        <x:v>1</x:v>
      </x:c>
      <x:c r="U106" s="23" t="str">
        <x:v>0</x:v>
      </x:c>
      <x:c r="V106" s="21" t="str"/>
      <x:c r="W106" s="21" t="str">
        <x:v>governed_eligible</x:v>
      </x:c>
      <x:c r="X106" s="21" t="str">
        <x:v>photonic_THz</x:v>
      </x:c>
      <x:c r="Y106" s="21" t="str">
        <x:v>shared_hardware; shared_resource_allocation</x:v>
      </x:c>
      <x:c r="Z106" s="21" t="str">
        <x:v>two_user_wireless_data_transmission; radar_masked_secure_communication</x:v>
      </x:c>
      <x:c r="AA106" s="21" t="str">
        <x:v>radar_ranging; inverse_synthetic_aperture_radar_imaging</x:v>
      </x:c>
      <x:c r="AB106" s="21" t="str">
        <x:v>4</x:v>
      </x:c>
      <x:c r="AC106" s="21" t="str">
        <x:v>laboratory_experiment; prototype_testbed</x:v>
      </x:c>
      <x:c r="AD106" s="21" t="str">
        <x:v>6G_access; security</x:v>
      </x:c>
      <x:c r="AE106" s="21" t="str">
        <x:v>inferred</x:v>
      </x:c>
    </x:row>
    <x:row r="107" ht="42" customHeight="1">
      <x:c r="A107" s="21" t="str">
        <x:v>STC-SINGLETON-SCR-00896</x:v>
      </x:c>
      <x:c r="B107" s="21" t="str">
        <x:v>SCR-00896</x:v>
      </x:c>
      <x:c r="C107" s="21" t="str">
        <x:v>OISAC_SCR00896</x:v>
      </x:c>
      <x:c r="D107" s="21" t="str">
        <x:v>OISAC_SCR00896</x:v>
      </x:c>
      <x:c r="E107" s="21" t="str"/>
      <x:c r="F107" s="21" t="str">
        <x:v>OISAC_SCR00896</x:v>
      </x:c>
      <x:c r="G107" s="21" t="str">
        <x:v>\cite{OISAC_SCR00896}</x:v>
      </x:c>
      <x:c r="H107" s="21" t="str">
        <x:v>Xue et al. (2021)</x:v>
      </x:c>
      <x:c r="I107" s="21" t="str">
        <x:v>Photonics-assisted joint radar and communication system based on an optoelectronic oscillator</x:v>
      </x:c>
      <x:c r="J107" s="23" t="str">
        <x:v>2021</x:v>
      </x:c>
      <x:c r="K107" s="21" t="str">
        <x:v>Optics Express</x:v>
      </x:c>
      <x:c r="L107" s="21" t="str">
        <x:v>10.1364/oe.430910</x:v>
      </x:c>
      <x:c r="M107" s="21" t="str">
        <x:v>RPT-SCR-00896-01</x:v>
      </x:c>
      <x:c r="N107" s="23" t="str">
        <x:v>1</x:v>
      </x:c>
      <x:c r="O107" s="23" t="str">
        <x:v>0</x:v>
      </x:c>
      <x:c r="P107" s="21" t="str">
        <x:v>RPT-SCR-00896-01</x:v>
      </x:c>
      <x:c r="Q107" s="23" t="str">
        <x:v>1</x:v>
      </x:c>
      <x:c r="R107" s="23" t="str">
        <x:v>12</x:v>
      </x:c>
      <x:c r="S107" s="23" t="str">
        <x:v>23</x:v>
      </x:c>
      <x:c r="T107" s="23" t="str">
        <x:v>1</x:v>
      </x:c>
      <x:c r="U107" s="23" t="str">
        <x:v>0</x:v>
      </x:c>
      <x:c r="V107" s="21" t="str"/>
      <x:c r="W107" s="21" t="str">
        <x:v>governed_eligible</x:v>
      </x:c>
      <x:c r="X107" s="21" t="str">
        <x:v>photonic_THz</x:v>
      </x:c>
      <x:c r="Y107" s="21" t="str">
        <x:v>shared_waveform; shared_resource_allocation</x:v>
      </x:c>
      <x:c r="Z107" s="21" t="str">
        <x:v>binary_vehicle_data_transmission; joint_signal_demodulation</x:v>
      </x:c>
      <x:c r="AA107" s="21" t="str">
        <x:v>short_range_radar_ranging; range_profile_estimation; anti_collision_support</x:v>
      </x:c>
      <x:c r="AB107" s="21" t="str">
        <x:v>4</x:v>
      </x:c>
      <x:c r="AC107" s="21" t="str">
        <x:v>analytical; laboratory_experiment; prototype_testbed</x:v>
      </x:c>
      <x:c r="AD107" s="21" t="str">
        <x:v>vehicular</x:v>
      </x:c>
      <x:c r="AE107" s="21" t="str">
        <x:v>inferred</x:v>
      </x:c>
    </x:row>
    <x:row r="108" ht="42" customHeight="1">
      <x:c r="A108" s="21" t="str">
        <x:v>STC-SINGLETON-SCR-00899</x:v>
      </x:c>
      <x:c r="B108" s="21" t="str">
        <x:v>SCR-00899</x:v>
      </x:c>
      <x:c r="C108" s="21" t="str">
        <x:v>OISAC_SCR00899</x:v>
      </x:c>
      <x:c r="D108" s="21" t="str">
        <x:v>OISAC_SCR00899</x:v>
      </x:c>
      <x:c r="E108" s="21" t="str"/>
      <x:c r="F108" s="21" t="str">
        <x:v>OISAC_SCR00899</x:v>
      </x:c>
      <x:c r="G108" s="21" t="str">
        <x:v>\cite{OISAC_SCR00899}</x:v>
      </x:c>
      <x:c r="H108" s="21" t="str">
        <x:v>Bai et al. (2025)</x:v>
      </x:c>
      <x:c r="I108" s="21" t="str">
        <x:v>Photonic-assisted generation of fast switchable multi-format LFM waveforms with a tuned bandwidth for a joint radar-communication system</x:v>
      </x:c>
      <x:c r="J108" s="23" t="str">
        <x:v>2025</x:v>
      </x:c>
      <x:c r="K108" s="21" t="str">
        <x:v>Optics Communications</x:v>
      </x:c>
      <x:c r="L108" s="21" t="str">
        <x:v>10.1016/j.optcom.2024.131097</x:v>
      </x:c>
      <x:c r="M108" s="21" t="str">
        <x:v>RPT-SCR-00899-01</x:v>
      </x:c>
      <x:c r="N108" s="23" t="str">
        <x:v>1</x:v>
      </x:c>
      <x:c r="O108" s="23" t="str">
        <x:v>0</x:v>
      </x:c>
      <x:c r="P108" s="21" t="str">
        <x:v>RPT-SCR-00899-01</x:v>
      </x:c>
      <x:c r="Q108" s="23" t="str">
        <x:v>1</x:v>
      </x:c>
      <x:c r="R108" s="23" t="str">
        <x:v>13</x:v>
      </x:c>
      <x:c r="S108" s="23" t="str">
        <x:v>19</x:v>
      </x:c>
      <x:c r="T108" s="23" t="str">
        <x:v>1</x:v>
      </x:c>
      <x:c r="U108" s="23" t="str">
        <x:v>0</x:v>
      </x:c>
      <x:c r="V108" s="21" t="str"/>
      <x:c r="W108" s="21" t="str">
        <x:v>governed_eligible</x:v>
      </x:c>
      <x:c r="X108" s="21" t="str">
        <x:v>photonic_THz</x:v>
      </x:c>
      <x:c r="Y108" s="21" t="str">
        <x:v>shared_waveform</x:v>
      </x:c>
      <x:c r="Z108" s="21" t="str">
        <x:v>binary_data_transmission_over_AWGN; chirp_format_demodulation</x:v>
      </x:c>
      <x:c r="AA108" s="21" t="str">
        <x:v>single_target_ranging; two_target_range_resolution</x:v>
      </x:c>
      <x:c r="AB108" s="21" t="str">
        <x:v>4</x:v>
      </x:c>
      <x:c r="AC108" s="21" t="str">
        <x:v>analytical; simulation; prototype_testbed</x:v>
      </x:c>
      <x:c r="AD108" s="21" t="str">
        <x:v>other</x:v>
      </x:c>
      <x:c r="AE108" s="21" t="str">
        <x:v>inferred</x:v>
      </x:c>
    </x:row>
    <x:row r="109" ht="42" customHeight="1">
      <x:c r="A109" s="21" t="str">
        <x:v>STC-SINGLETON-SCR-00902</x:v>
      </x:c>
      <x:c r="B109" s="21" t="str">
        <x:v>SCR-00902</x:v>
      </x:c>
      <x:c r="C109" s="21" t="str">
        <x:v>OISAC_SCR00902</x:v>
      </x:c>
      <x:c r="D109" s="21" t="str">
        <x:v>OISAC_SCR00902</x:v>
      </x:c>
      <x:c r="E109" s="21" t="str"/>
      <x:c r="F109" s="21" t="str">
        <x:v>OISAC_SCR00902</x:v>
      </x:c>
      <x:c r="G109" s="21" t="str">
        <x:v>\cite{OISAC_SCR00902}</x:v>
      </x:c>
      <x:c r="H109" s="21" t="str">
        <x:v>Wang et al. (2025)</x:v>
      </x:c>
      <x:c r="I109" s="21" t="str">
        <x:v>Bidirectional Retroreflective Optical ISAC Using Time Division Duplexing and Clipped OFDM</x:v>
      </x:c>
      <x:c r="J109" s="23" t="str">
        <x:v>2025</x:v>
      </x:c>
      <x:c r="K109" s="21" t="str">
        <x:v>IEEE Photonics Technology Letters</x:v>
      </x:c>
      <x:c r="L109" s="21" t="str">
        <x:v>10.1109/lpt.2025.3541038</x:v>
      </x:c>
      <x:c r="M109" s="21" t="str">
        <x:v>RPT-SCR-00902-01</x:v>
      </x:c>
      <x:c r="N109" s="23" t="str">
        <x:v>1</x:v>
      </x:c>
      <x:c r="O109" s="23" t="str">
        <x:v>0</x:v>
      </x:c>
      <x:c r="P109" s="21" t="str">
        <x:v>RPT-SCR-00902-01</x:v>
      </x:c>
      <x:c r="Q109" s="23" t="str">
        <x:v>1</x:v>
      </x:c>
      <x:c r="R109" s="23" t="str">
        <x:v>11</x:v>
      </x:c>
      <x:c r="S109" s="23" t="str">
        <x:v>15</x:v>
      </x:c>
      <x:c r="T109" s="23" t="str">
        <x:v>2</x:v>
      </x:c>
      <x:c r="U109" s="23" t="str">
        <x:v>0</x:v>
      </x:c>
      <x:c r="V109" s="21" t="str"/>
      <x:c r="W109" s="21" t="str">
        <x:v>governed_eligible</x:v>
      </x:c>
      <x:c r="X109" s="21" t="str">
        <x:v>VLC_LiFi</x:v>
      </x:c>
      <x:c r="Y109" s="21" t="str">
        <x:v>shared_waveform; shared_link_or_channel; shared_resource_allocation</x:v>
      </x:c>
      <x:c r="Z109" s="21" t="str">
        <x:v>bidirectional_OFDM_downlink_and_uplink; 16_QAM_data_transmission</x:v>
      </x:c>
      <x:c r="AA109" s="21" t="str">
        <x:v>passive_range_estimation; communication_target_distance_tracking</x:v>
      </x:c>
      <x:c r="AB109" s="21" t="str">
        <x:v>4</x:v>
      </x:c>
      <x:c r="AC109" s="21" t="str">
        <x:v>analytical; laboratory_experiment</x:v>
      </x:c>
      <x:c r="AD109" s="21" t="str">
        <x:v>6G_access</x:v>
      </x:c>
      <x:c r="AE109" s="21" t="str">
        <x:v>direct</x:v>
      </x:c>
    </x:row>
    <x:row r="110" ht="42" customHeight="1">
      <x:c r="A110" s="21" t="str">
        <x:v>STC-SINGLETON-SCR-00903</x:v>
      </x:c>
      <x:c r="B110" s="21" t="str">
        <x:v>SCR-00903</x:v>
      </x:c>
      <x:c r="C110" s="21" t="str">
        <x:v>OISAC_SCR00903</x:v>
      </x:c>
      <x:c r="D110" s="21" t="str">
        <x:v>OISAC_SCR00903</x:v>
      </x:c>
      <x:c r="E110" s="21" t="str"/>
      <x:c r="F110" s="21" t="str">
        <x:v>OISAC_SCR00903</x:v>
      </x:c>
      <x:c r="G110" s="21" t="str">
        <x:v>\cite{OISAC_SCR00903}</x:v>
      </x:c>
      <x:c r="H110" s="21" t="str">
        <x:v>Zhang et al. (2024)</x:v>
      </x:c>
      <x:c r="I110" s="21" t="str">
        <x:v>Phase-Coded FMCW for Optical Integrated Sensing and Communication</x:v>
      </x:c>
      <x:c r="J110" s="23" t="str">
        <x:v>2024</x:v>
      </x:c>
      <x:c r="K110" s="21" t="str">
        <x:v>2024 Asia Communications and Photonics Conference (ACP) and International Conference on Information Photonics and Optical Communications (IPOC)</x:v>
      </x:c>
      <x:c r="L110" s="21" t="str">
        <x:v>10.1109/acp/ipoc63121.2024.10809937</x:v>
      </x:c>
      <x:c r="M110" s="21" t="str">
        <x:v>RPT-SCR-00903-01</x:v>
      </x:c>
      <x:c r="N110" s="23" t="str">
        <x:v>1</x:v>
      </x:c>
      <x:c r="O110" s="23" t="str">
        <x:v>0</x:v>
      </x:c>
      <x:c r="P110" s="21" t="str">
        <x:v>RPT-SCR-00903-01</x:v>
      </x:c>
      <x:c r="Q110" s="23" t="str">
        <x:v>1</x:v>
      </x:c>
      <x:c r="R110" s="23" t="str">
        <x:v>9</x:v>
      </x:c>
      <x:c r="S110" s="23" t="str">
        <x:v>11</x:v>
      </x:c>
      <x:c r="T110" s="23" t="str">
        <x:v>0</x:v>
      </x:c>
      <x:c r="U110" s="23" t="str">
        <x:v>0</x:v>
      </x:c>
      <x:c r="V110" s="21" t="str"/>
      <x:c r="W110" s="21" t="str">
        <x:v>governed_eligible</x:v>
      </x:c>
      <x:c r="X110" s="21" t="str">
        <x:v>FSO</x:v>
      </x:c>
      <x:c r="Y110" s="21" t="str">
        <x:v>shared_waveform; shared_hardware</x:v>
      </x:c>
      <x:c r="Z110" s="21" t="str">
        <x:v>1_Gbit_s_differential_phase_code_delivery</x:v>
      </x:c>
      <x:c r="AA110" s="21" t="str">
        <x:v>FMCW_range_estimation; potential_radial_velocity_estimation</x:v>
      </x:c>
      <x:c r="AB110" s="21" t="str">
        <x:v>2</x:v>
      </x:c>
      <x:c r="AC110" s="21" t="str">
        <x:v>analytical; simulation</x:v>
      </x:c>
      <x:c r="AD110" s="21" t="str">
        <x:v>other</x:v>
      </x:c>
      <x:c r="AE110" s="21" t="str">
        <x:v>inferred</x:v>
      </x:c>
    </x:row>
    <x:row r="111" ht="42" customHeight="1">
      <x:c r="A111" s="21" t="str">
        <x:v>STC-SINGLETON-SCR-00904</x:v>
      </x:c>
      <x:c r="B111" s="21" t="str">
        <x:v>SCR-00904</x:v>
      </x:c>
      <x:c r="C111" s="21" t="str">
        <x:v>OISAC_SCR00904</x:v>
      </x:c>
      <x:c r="D111" s="21" t="str">
        <x:v>OISAC_SCR00904</x:v>
      </x:c>
      <x:c r="E111" s="21" t="str"/>
      <x:c r="F111" s="21" t="str">
        <x:v>OISAC_SCR00904</x:v>
      </x:c>
      <x:c r="G111" s="21" t="str">
        <x:v>\cite{OISAC_SCR00904}</x:v>
      </x:c>
      <x:c r="H111" s="21" t="str">
        <x:v>Tian et al. (2025)</x:v>
      </x:c>
      <x:c r="I111" s="21" t="str">
        <x:v>Gaussian Pulse-Based PSS-PPM Scheme for Optical Integrated Sensing and Communication Systems</x:v>
      </x:c>
      <x:c r="J111" s="23" t="str">
        <x:v>2025</x:v>
      </x:c>
      <x:c r="K111" s="21" t="str">
        <x:v>2025 Asia Communications and Photonics Conference (ACP)</x:v>
      </x:c>
      <x:c r="L111" s="21" t="str">
        <x:v>10.1109/acp66871.2025.11350501</x:v>
      </x:c>
      <x:c r="M111" s="21" t="str">
        <x:v>RPT-SCR-00904-01</x:v>
      </x:c>
      <x:c r="N111" s="23" t="str">
        <x:v>1</x:v>
      </x:c>
      <x:c r="O111" s="23" t="str">
        <x:v>0</x:v>
      </x:c>
      <x:c r="P111" s="21" t="str">
        <x:v>RPT-SCR-00904-01</x:v>
      </x:c>
      <x:c r="Q111" s="23" t="str">
        <x:v>1</x:v>
      </x:c>
      <x:c r="R111" s="23" t="str">
        <x:v>10</x:v>
      </x:c>
      <x:c r="S111" s="23" t="str">
        <x:v>13</x:v>
      </x:c>
      <x:c r="T111" s="23" t="str">
        <x:v>0</x:v>
      </x:c>
      <x:c r="U111" s="23" t="str">
        <x:v>0</x:v>
      </x:c>
      <x:c r="V111" s="21" t="str"/>
      <x:c r="W111" s="21" t="str">
        <x:v>governed_eligible</x:v>
      </x:c>
      <x:c r="X111" s="21" t="str">
        <x:v>FSO</x:v>
      </x:c>
      <x:c r="Y111" s="21" t="str">
        <x:v>shared_waveform</x:v>
      </x:c>
      <x:c r="Z111" s="21" t="str">
        <x:v>PPM_PN_spread_data_transmission</x:v>
      </x:c>
      <x:c r="AA111" s="21" t="str">
        <x:v>round_trip_distance_estimation</x:v>
      </x:c>
      <x:c r="AB111" s="21" t="str">
        <x:v>3</x:v>
      </x:c>
      <x:c r="AC111" s="21" t="str">
        <x:v>simulation</x:v>
      </x:c>
      <x:c r="AD111" s="21" t="str">
        <x:v>optical_access_network</x:v>
      </x:c>
      <x:c r="AE111" s="21" t="str">
        <x:v>inferred</x:v>
      </x:c>
    </x:row>
    <x:row r="112" ht="42" customHeight="1">
      <x:c r="A112" s="21" t="str">
        <x:v>STC-SINGLETON-SCR-00905</x:v>
      </x:c>
      <x:c r="B112" s="21" t="str">
        <x:v>SCR-00905</x:v>
      </x:c>
      <x:c r="C112" s="21" t="str">
        <x:v>OISAC_SCR00905</x:v>
      </x:c>
      <x:c r="D112" s="21" t="str">
        <x:v>OISAC_SCR00905</x:v>
      </x:c>
      <x:c r="E112" s="21" t="str"/>
      <x:c r="F112" s="21" t="str">
        <x:v>OISAC_SCR00905</x:v>
      </x:c>
      <x:c r="G112" s="21" t="str">
        <x:v>\cite{OISAC_SCR00905}</x:v>
      </x:c>
      <x:c r="H112" s="21" t="str">
        <x:v>Wang et al. (2024)</x:v>
      </x:c>
      <x:c r="I112" s="21" t="str">
        <x:v>Retroreflective Optical ISAC Supporting 3D Positioning in Indoor Environments</x:v>
      </x:c>
      <x:c r="J112" s="23" t="str">
        <x:v>2024</x:v>
      </x:c>
      <x:c r="K112" s="21" t="str">
        <x:v>2024 Asia Communications and Photonics Conference (ACP) and International Conference on Information Photonics and Optical Communications (IPOC)</x:v>
      </x:c>
      <x:c r="L112" s="21" t="str">
        <x:v>10.1109/acp/ipoc63121.2024.10809915</x:v>
      </x:c>
      <x:c r="M112" s="21" t="str">
        <x:v>RPT-SCR-00905-01</x:v>
      </x:c>
      <x:c r="N112" s="23" t="str">
        <x:v>1</x:v>
      </x:c>
      <x:c r="O112" s="23" t="str">
        <x:v>0</x:v>
      </x:c>
      <x:c r="P112" s="21" t="str">
        <x:v>RPT-SCR-00905-01</x:v>
      </x:c>
      <x:c r="Q112" s="23" t="str">
        <x:v>1</x:v>
      </x:c>
      <x:c r="R112" s="23" t="str">
        <x:v>10</x:v>
      </x:c>
      <x:c r="S112" s="23" t="str">
        <x:v>16</x:v>
      </x:c>
      <x:c r="T112" s="23" t="str">
        <x:v>0</x:v>
      </x:c>
      <x:c r="U112" s="23" t="str">
        <x:v>0</x:v>
      </x:c>
      <x:c r="V112" s="21" t="str"/>
      <x:c r="W112" s="21" t="str">
        <x:v>governed_eligible</x:v>
      </x:c>
      <x:c r="X112" s="21" t="str">
        <x:v>VLC_LiFi</x:v>
      </x:c>
      <x:c r="Y112" s="21" t="str">
        <x:v>shared_waveform; shared_hardware; shared_resource_allocation</x:v>
      </x:c>
      <x:c r="Z112" s="21" t="str">
        <x:v>indoor_OFDM_downlink_data_transmission</x:v>
      </x:c>
      <x:c r="AA112" s="21" t="str">
        <x:v>passive_round_trip_ranging; 3D_positioning</x:v>
      </x:c>
      <x:c r="AB112" s="21" t="str">
        <x:v>2</x:v>
      </x:c>
      <x:c r="AC112" s="21" t="str">
        <x:v>analytical; simulation</x:v>
      </x:c>
      <x:c r="AD112" s="21" t="str">
        <x:v>indoor_positioning</x:v>
      </x:c>
      <x:c r="AE112" s="21" t="str">
        <x:v>inferred</x:v>
      </x:c>
    </x:row>
    <x:row r="113" ht="42" customHeight="1">
      <x:c r="A113" s="21" t="str">
        <x:v>STC-SINGLETON-SCR-00906</x:v>
      </x:c>
      <x:c r="B113" s="21" t="str">
        <x:v>SCR-00906</x:v>
      </x:c>
      <x:c r="C113" s="21" t="str">
        <x:v>OISAC_SCR00906</x:v>
      </x:c>
      <x:c r="D113" s="21" t="str">
        <x:v>OISAC_SCR00906</x:v>
      </x:c>
      <x:c r="E113" s="21" t="str"/>
      <x:c r="F113" s="21" t="str">
        <x:v>OISAC_SCR00906</x:v>
      </x:c>
      <x:c r="G113" s="21" t="str">
        <x:v>\cite{OISAC_SCR00906}</x:v>
      </x:c>
      <x:c r="H113" s="21" t="str">
        <x:v>Krikidis (2026)</x:v>
      </x:c>
      <x:c r="I113" s="21" t="str">
        <x:v>Quantum Optical Integrated Sensing and Communication With Homodyne BPSK Detection</x:v>
      </x:c>
      <x:c r="J113" s="23" t="str">
        <x:v>2026</x:v>
      </x:c>
      <x:c r="K113" s="21" t="str">
        <x:v>IEEE Wireless Communications Letters</x:v>
      </x:c>
      <x:c r="L113" s="21" t="str">
        <x:v>10.1109/lwc.2026.3654015</x:v>
      </x:c>
      <x:c r="M113" s="21" t="str">
        <x:v>RPT-SCR-00906-01</x:v>
      </x:c>
      <x:c r="N113" s="23" t="str">
        <x:v>1</x:v>
      </x:c>
      <x:c r="O113" s="23" t="str">
        <x:v>0</x:v>
      </x:c>
      <x:c r="P113" s="21" t="str">
        <x:v>RPT-SCR-00906-01</x:v>
      </x:c>
      <x:c r="Q113" s="23" t="str">
        <x:v>1</x:v>
      </x:c>
      <x:c r="R113" s="23" t="str">
        <x:v>14</x:v>
      </x:c>
      <x:c r="S113" s="23" t="str">
        <x:v>23</x:v>
      </x:c>
      <x:c r="T113" s="23" t="str">
        <x:v>2</x:v>
      </x:c>
      <x:c r="U113" s="23" t="str">
        <x:v>0</x:v>
      </x:c>
      <x:c r="V113" s="21" t="str"/>
      <x:c r="W113" s="21" t="str">
        <x:v>governed_eligible</x:v>
      </x:c>
      <x:c r="X113" s="21" t="str">
        <x:v>other_optical</x:v>
      </x:c>
      <x:c r="Y113" s="21" t="str">
        <x:v>shared_waveform; joint_design_or_optimization</x:v>
      </x:c>
      <x:c r="Z113" s="21" t="str">
        <x:v>BPSK_symbol_detection; BER_minimization; quantum_optical_communication</x:v>
      </x:c>
      <x:c r="AA113" s="21" t="str">
        <x:v>deterministic_channel_phase_estimation; phase_rotation_sensing; medium_or_reflection_interaction_inference</x:v>
      </x:c>
      <x:c r="AB113" s="21" t="str">
        <x:v>2</x:v>
      </x:c>
      <x:c r="AC113" s="21" t="str">
        <x:v>analytical; simulation</x:v>
      </x:c>
      <x:c r="AD113" s="21" t="str">
        <x:v>6G_access; environment_monitoring</x:v>
      </x:c>
      <x:c r="AE113" s="21" t="str">
        <x:v>direct</x:v>
      </x:c>
    </x:row>
    <x:row r="114" ht="42" customHeight="1">
      <x:c r="A114" s="21" t="str">
        <x:v>STC-SINGLETON-SCR-00908</x:v>
      </x:c>
      <x:c r="B114" s="21" t="str">
        <x:v>SCR-00908</x:v>
      </x:c>
      <x:c r="C114" s="21" t="str">
        <x:v>OISAC_SCR00908</x:v>
      </x:c>
      <x:c r="D114" s="21" t="str">
        <x:v>OISAC_SCR00908</x:v>
      </x:c>
      <x:c r="E114" s="21" t="str"/>
      <x:c r="F114" s="21" t="str">
        <x:v>OISAC_SCR00908</x:v>
      </x:c>
      <x:c r="G114" s="21" t="str">
        <x:v>\cite{OISAC_SCR00908}</x:v>
      </x:c>
      <x:c r="H114" s="21" t="str">
        <x:v>Khorasgani et al. (2024)</x:v>
      </x:c>
      <x:c r="I114" s="21" t="str">
        <x:v>Optical ISAC: Fundamental Performance Limits and Transceiver Design</x:v>
      </x:c>
      <x:c r="J114" s="23" t="str">
        <x:v>2024</x:v>
      </x:c>
      <x:c r="K114" s="21" t="str">
        <x:v>2024 IEEE Globecom Workshops (GC Wkshps)</x:v>
      </x:c>
      <x:c r="L114" s="21" t="str">
        <x:v>10.1109/gcwkshp64532.2024.11101062</x:v>
      </x:c>
      <x:c r="M114" s="21" t="str">
        <x:v>RPT-SCR-00908-01</x:v>
      </x:c>
      <x:c r="N114" s="23" t="str">
        <x:v>1</x:v>
      </x:c>
      <x:c r="O114" s="23" t="str">
        <x:v>0</x:v>
      </x:c>
      <x:c r="P114" s="21" t="str">
        <x:v>RPT-SCR-00908-01</x:v>
      </x:c>
      <x:c r="Q114" s="23" t="str">
        <x:v>1</x:v>
      </x:c>
      <x:c r="R114" s="23" t="str">
        <x:v>16</x:v>
      </x:c>
      <x:c r="S114" s="23" t="str">
        <x:v>25</x:v>
      </x:c>
      <x:c r="T114" s="23" t="str">
        <x:v>4</x:v>
      </x:c>
      <x:c r="U114" s="23" t="str">
        <x:v>0</x:v>
      </x:c>
      <x:c r="V114" s="21" t="str"/>
      <x:c r="W114" s="21" t="str">
        <x:v>governed_eligible</x:v>
      </x:c>
      <x:c r="X114" s="21" t="str">
        <x:v>FSO</x:v>
      </x:c>
      <x:c r="Y114" s="21" t="str">
        <x:v>shared_waveform; shared_hardware; joint_design_or_optimization; shared_application_scenario</x:v>
      </x:c>
      <x:c r="Z114" s="21" t="str">
        <x:v>point_to_point_data_transmission; message_decoding; capacity_or_mutual_information_optimization</x:v>
      </x:c>
      <x:c r="AA114" s="21" t="str">
        <x:v>point_target_distance_estimation; echo_based_ranging</x:v>
      </x:c>
      <x:c r="AB114" s="21" t="str">
        <x:v>2</x:v>
      </x:c>
      <x:c r="AC114" s="21" t="str">
        <x:v>analytical; simulation</x:v>
      </x:c>
      <x:c r="AD114" s="21" t="str">
        <x:v>6G_access; vehicular</x:v>
      </x:c>
      <x:c r="AE114" s="21" t="str">
        <x:v>direct</x:v>
      </x:c>
    </x:row>
    <x:row r="115" ht="42" customHeight="1">
      <x:c r="A115" s="21" t="str">
        <x:v>STC-SINGLETON-SCR-00909</x:v>
      </x:c>
      <x:c r="B115" s="21" t="str">
        <x:v>SCR-00909</x:v>
      </x:c>
      <x:c r="C115" s="21" t="str">
        <x:v>OISAC_SCR00909</x:v>
      </x:c>
      <x:c r="D115" s="21" t="str">
        <x:v>OISAC_SCR00909</x:v>
      </x:c>
      <x:c r="E115" s="21" t="str"/>
      <x:c r="F115" s="21" t="str">
        <x:v>OISAC_SCR00909</x:v>
      </x:c>
      <x:c r="G115" s="21" t="str">
        <x:v>\cite{OISAC_SCR00909}</x:v>
      </x:c>
      <x:c r="H115" s="21" t="str">
        <x:v>Wen et al. (2024)</x:v>
      </x:c>
      <x:c r="I115" s="21" t="str">
        <x:v>Free Space Optical Integrated Sensing and Communication Based on LFM and CPM</x:v>
      </x:c>
      <x:c r="J115" s="23" t="str">
        <x:v>2024</x:v>
      </x:c>
      <x:c r="K115" s="21" t="str">
        <x:v>IEEE Communications Letters</x:v>
      </x:c>
      <x:c r="L115" s="21" t="str">
        <x:v>10.1109/lcomm.2023.3332658</x:v>
      </x:c>
      <x:c r="M115" s="21" t="str">
        <x:v>RPT-SCR-00909-01</x:v>
      </x:c>
      <x:c r="N115" s="23" t="str">
        <x:v>1</x:v>
      </x:c>
      <x:c r="O115" s="23" t="str">
        <x:v>0</x:v>
      </x:c>
      <x:c r="P115" s="21" t="str">
        <x:v>RPT-SCR-00909-01</x:v>
      </x:c>
      <x:c r="Q115" s="23" t="str">
        <x:v>1</x:v>
      </x:c>
      <x:c r="R115" s="23" t="str">
        <x:v>16</x:v>
      </x:c>
      <x:c r="S115" s="23" t="str">
        <x:v>26</x:v>
      </x:c>
      <x:c r="T115" s="23" t="str">
        <x:v>4</x:v>
      </x:c>
      <x:c r="U115" s="23" t="str">
        <x:v>0</x:v>
      </x:c>
      <x:c r="V115" s="21" t="str"/>
      <x:c r="W115" s="21" t="str">
        <x:v>governed_eligible</x:v>
      </x:c>
      <x:c r="X115" s="21" t="str">
        <x:v>FSO</x:v>
      </x:c>
      <x:c r="Y115" s="21" t="str">
        <x:v>shared_waveform; shared_hardware; joint_design_or_optimization</x:v>
      </x:c>
      <x:c r="Z115" s="21" t="str">
        <x:v>binary_or_quaternary_CPM_data_transmission; coherent_demodulation; Viterbi_decoding; time_synchronization; achievable_rate_and_BER_optimization</x:v>
      </x:c>
      <x:c r="AA115" s="21" t="str">
        <x:v>time_of_flight_estimation; device_distance_ranging</x:v>
      </x:c>
      <x:c r="AB115" s="21" t="str">
        <x:v>3</x:v>
      </x:c>
      <x:c r="AC115" s="21" t="str">
        <x:v>analytical; simulation</x:v>
      </x:c>
      <x:c r="AD115" s="21" t="str">
        <x:v>6G_access; vehicular</x:v>
      </x:c>
      <x:c r="AE115" s="21" t="str">
        <x:v>direct</x:v>
      </x:c>
    </x:row>
    <x:row r="116" ht="42" customHeight="1">
      <x:c r="A116" s="21" t="str">
        <x:v>STC-SINGLETON-SCR-00910</x:v>
      </x:c>
      <x:c r="B116" s="21" t="str">
        <x:v>SCR-00910</x:v>
      </x:c>
      <x:c r="C116" s="21" t="str">
        <x:v>OISAC_SCR00910</x:v>
      </x:c>
      <x:c r="D116" s="21" t="str">
        <x:v>OISAC_SCR00910</x:v>
      </x:c>
      <x:c r="E116" s="21" t="str"/>
      <x:c r="F116" s="21" t="str">
        <x:v>OISAC_SCR00910</x:v>
      </x:c>
      <x:c r="G116" s="21" t="str">
        <x:v>\cite{OISAC_SCR00910}</x:v>
      </x:c>
      <x:c r="H116" s="21" t="str">
        <x:v>Wang et al. (2023)</x:v>
      </x:c>
      <x:c r="I116" s="21" t="str">
        <x:v>Optical Integrated Sensing and Communication for Cooperative Mobile Robotics: Design and Experiments</x:v>
      </x:c>
      <x:c r="J116" s="23" t="str">
        <x:v>2023</x:v>
      </x:c>
      <x:c r="K116" s="21" t="str">
        <x:v>2023 21st International Symposium on Modeling and Optimization in Mobile, Ad Hoc, and Wireless Networks (WiOpt)</x:v>
      </x:c>
      <x:c r="L116" s="21" t="str">
        <x:v>10.23919/wiopt58741.2023.10349823</x:v>
      </x:c>
      <x:c r="M116" s="21" t="str">
        <x:v>RPT-SCR-00910-01</x:v>
      </x:c>
      <x:c r="N116" s="23" t="str">
        <x:v>1</x:v>
      </x:c>
      <x:c r="O116" s="23" t="str">
        <x:v>0</x:v>
      </x:c>
      <x:c r="P116" s="21" t="str">
        <x:v>RPT-SCR-00910-01</x:v>
      </x:c>
      <x:c r="Q116" s="23" t="str">
        <x:v>1</x:v>
      </x:c>
      <x:c r="R116" s="23" t="str">
        <x:v>17</x:v>
      </x:c>
      <x:c r="S116" s="23" t="str">
        <x:v>30</x:v>
      </x:c>
      <x:c r="T116" s="23" t="str">
        <x:v>4</x:v>
      </x:c>
      <x:c r="U116" s="23" t="str">
        <x:v>0</x:v>
      </x:c>
      <x:c r="V116" s="21" t="str"/>
      <x:c r="W116" s="21" t="str">
        <x:v>governed_eligible</x:v>
      </x:c>
      <x:c r="X116" s="21" t="str">
        <x:v>VLC_LiFi</x:v>
      </x:c>
      <x:c r="Y116" s="21" t="str">
        <x:v>shared_hardware; shared_link_or_channel; shared_application_scenario</x:v>
      </x:c>
      <x:c r="Z116" s="21" t="str">
        <x:v>screen_camera_communication; leader_velocity_state_delivery; 2D_pixel_matrix_demodulation_and_decoding; real_time_ROS_control_information</x:v>
      </x:c>
      <x:c r="AA116" s="21" t="str">
        <x:v>relative_position_estimation; relative_orientation_estimation; leader_follower_pose_tracking; feature_marker_detection</x:v>
      </x:c>
      <x:c r="AB116" s="21" t="str">
        <x:v>6</x:v>
      </x:c>
      <x:c r="AC116" s="21" t="str">
        <x:v>analytical; field_experiment</x:v>
      </x:c>
      <x:c r="AD116" s="21" t="str">
        <x:v>indoor_positioning</x:v>
      </x:c>
      <x:c r="AE116" s="21" t="str">
        <x:v>direct</x:v>
      </x:c>
    </x:row>
    <x:row r="117" ht="42" customHeight="1">
      <x:c r="A117" s="21" t="str">
        <x:v>STC-SINGLETON-SCR-00912</x:v>
      </x:c>
      <x:c r="B117" s="21" t="str">
        <x:v>SCR-00912</x:v>
      </x:c>
      <x:c r="C117" s="21" t="str">
        <x:v>OISAC_SCR00912</x:v>
      </x:c>
      <x:c r="D117" s="21" t="str">
        <x:v>OISAC_SCR00912</x:v>
      </x:c>
      <x:c r="E117" s="21" t="str"/>
      <x:c r="F117" s="21" t="str">
        <x:v>OISAC_SCR00912</x:v>
      </x:c>
      <x:c r="G117" s="21" t="str">
        <x:v>\cite{OISAC_SCR00912}</x:v>
      </x:c>
      <x:c r="H117" s="21" t="str">
        <x:v>Du et al. (2025)</x:v>
      </x:c>
      <x:c r="I117" s="21" t="str">
        <x:v>Flexible Waveform Design for RO-ISAC Based on OFDM-Embedded Maximum Length Sequence</x:v>
      </x:c>
      <x:c r="J117" s="23" t="str">
        <x:v>2025</x:v>
      </x:c>
      <x:c r="K117" s="21" t="str">
        <x:v>IEEE Wireless Communications Letters</x:v>
      </x:c>
      <x:c r="L117" s="21" t="str">
        <x:v>10.1109/lwc.2025.3593253</x:v>
      </x:c>
      <x:c r="M117" s="21" t="str">
        <x:v>RPT-SCR-00912-01</x:v>
      </x:c>
      <x:c r="N117" s="23" t="str">
        <x:v>1</x:v>
      </x:c>
      <x:c r="O117" s="23" t="str">
        <x:v>0</x:v>
      </x:c>
      <x:c r="P117" s="21" t="str">
        <x:v>RPT-SCR-00912-01</x:v>
      </x:c>
      <x:c r="Q117" s="23" t="str">
        <x:v>1</x:v>
      </x:c>
      <x:c r="R117" s="23" t="str">
        <x:v>12</x:v>
      </x:c>
      <x:c r="S117" s="23" t="str">
        <x:v>24</x:v>
      </x:c>
      <x:c r="T117" s="23" t="str">
        <x:v>1</x:v>
      </x:c>
      <x:c r="U117" s="23" t="str">
        <x:v>0</x:v>
      </x:c>
      <x:c r="V117" s="21" t="str"/>
      <x:c r="W117" s="21" t="str">
        <x:v>governed_eligible</x:v>
      </x:c>
      <x:c r="X117" s="21" t="str">
        <x:v>VLC_LiFi</x:v>
      </x:c>
      <x:c r="Y117" s="21" t="str">
        <x:v>shared_waveform; shared_resource_allocation</x:v>
      </x:c>
      <x:c r="Z117" s="21" t="str">
        <x:v>unidirectional_free_space_optical_data_transmission; OFDM_demodulation</x:v>
      </x:c>
      <x:c r="AA117" s="21" t="str">
        <x:v>one_dimensional_range_estimation</x:v>
      </x:c>
      <x:c r="AB117" s="21" t="str">
        <x:v>4</x:v>
      </x:c>
      <x:c r="AC117" s="21" t="str">
        <x:v>analytical; laboratory_experiment</x:v>
      </x:c>
      <x:c r="AD117" s="21" t="str">
        <x:v>6G_access</x:v>
      </x:c>
      <x:c r="AE117" s="21" t="str">
        <x:v>direct</x:v>
      </x:c>
    </x:row>
    <x:row r="118" ht="42" customHeight="1">
      <x:c r="A118" s="21" t="str">
        <x:v>STC-SINGLETON-SCR-00913</x:v>
      </x:c>
      <x:c r="B118" s="21" t="str">
        <x:v>SCR-00913</x:v>
      </x:c>
      <x:c r="C118" s="21" t="str">
        <x:v>OISAC_SCR00913</x:v>
      </x:c>
      <x:c r="D118" s="21" t="str">
        <x:v>OISAC_SCR00913</x:v>
      </x:c>
      <x:c r="E118" s="21" t="str"/>
      <x:c r="F118" s="21" t="str">
        <x:v>OISAC_SCR00913</x:v>
      </x:c>
      <x:c r="G118" s="21" t="str">
        <x:v>\cite{OISAC_SCR00913}</x:v>
      </x:c>
      <x:c r="H118" s="21" t="str">
        <x:v>Wen et al. (2023)</x:v>
      </x:c>
      <x:c r="I118" s="21" t="str">
        <x:v>Pulse Sequence Sensing and Pulse Position Modulation for Optical Integrated Sensing and Communication</x:v>
      </x:c>
      <x:c r="J118" s="23" t="str">
        <x:v>2023</x:v>
      </x:c>
      <x:c r="K118" s="21" t="str">
        <x:v>IEEE Communications Letters</x:v>
      </x:c>
      <x:c r="L118" s="21" t="str">
        <x:v>10.1109/lcomm.2023.3270184</x:v>
      </x:c>
      <x:c r="M118" s="21" t="str">
        <x:v>RPT-SCR-00913-01</x:v>
      </x:c>
      <x:c r="N118" s="23" t="str">
        <x:v>1</x:v>
      </x:c>
      <x:c r="O118" s="23" t="str">
        <x:v>0</x:v>
      </x:c>
      <x:c r="P118" s="21" t="str">
        <x:v>RPT-SCR-00913-01</x:v>
      </x:c>
      <x:c r="Q118" s="23" t="str">
        <x:v>1</x:v>
      </x:c>
      <x:c r="R118" s="23" t="str">
        <x:v>12</x:v>
      </x:c>
      <x:c r="S118" s="23" t="str">
        <x:v>18</x:v>
      </x:c>
      <x:c r="T118" s="23" t="str">
        <x:v>1</x:v>
      </x:c>
      <x:c r="U118" s="23" t="str">
        <x:v>0</x:v>
      </x:c>
      <x:c r="V118" s="21" t="str"/>
      <x:c r="W118" s="21" t="str">
        <x:v>governed_eligible</x:v>
      </x:c>
      <x:c r="X118" s="21" t="str">
        <x:v>FSO</x:v>
      </x:c>
      <x:c r="Y118" s="21" t="str">
        <x:v>shared_waveform</x:v>
      </x:c>
      <x:c r="Z118" s="21" t="str">
        <x:v>unidirectional_optical_data_transmission; multiuser_PPM_demodulation</x:v>
      </x:c>
      <x:c r="AA118" s="21" t="str">
        <x:v>target_range_estimation; unambiguous_range_control</x:v>
      </x:c>
      <x:c r="AB118" s="21" t="str">
        <x:v>3</x:v>
      </x:c>
      <x:c r="AC118" s="21" t="str">
        <x:v>analytical; simulation</x:v>
      </x:c>
      <x:c r="AD118" s="21" t="str">
        <x:v>other</x:v>
      </x:c>
      <x:c r="AE118" s="21" t="str">
        <x:v>inferred</x:v>
      </x:c>
    </x:row>
    <x:row r="119" ht="42" customHeight="1">
      <x:c r="A119" s="21" t="str">
        <x:v>STC-SINGLETON-SCR-00914</x:v>
      </x:c>
      <x:c r="B119" s="21" t="str">
        <x:v>SCR-00914</x:v>
      </x:c>
      <x:c r="C119" s="21" t="str">
        <x:v>OISAC_SCR00914</x:v>
      </x:c>
      <x:c r="D119" s="21" t="str">
        <x:v>OISAC_SCR00914</x:v>
      </x:c>
      <x:c r="E119" s="21" t="str"/>
      <x:c r="F119" s="21" t="str">
        <x:v>OISAC_SCR00914</x:v>
      </x:c>
      <x:c r="G119" s="21" t="str">
        <x:v>\cite{OISAC_SCR00914}</x:v>
      </x:c>
      <x:c r="H119" s="21" t="str">
        <x:v>Wang et al. (2024)</x:v>
      </x:c>
      <x:c r="I119" s="21" t="str">
        <x:v>Optical Integrated Sensing and Communication System Based on Combination of OIRS and PD Array for Mobile Scenarios</x:v>
      </x:c>
      <x:c r="J119" s="23" t="str">
        <x:v>2024</x:v>
      </x:c>
      <x:c r="K119" s="21" t="str">
        <x:v>IEEE Transactions on Wireless Communications</x:v>
      </x:c>
      <x:c r="L119" s="21" t="str">
        <x:v>10.1109/twc.2024.3484569</x:v>
      </x:c>
      <x:c r="M119" s="21" t="str">
        <x:v>RPT-SCR-00914-01</x:v>
      </x:c>
      <x:c r="N119" s="23" t="str">
        <x:v>1</x:v>
      </x:c>
      <x:c r="O119" s="23" t="str">
        <x:v>0</x:v>
      </x:c>
      <x:c r="P119" s="21" t="str">
        <x:v>RPT-SCR-00914-01</x:v>
      </x:c>
      <x:c r="Q119" s="23" t="str">
        <x:v>1</x:v>
      </x:c>
      <x:c r="R119" s="23" t="str">
        <x:v>12</x:v>
      </x:c>
      <x:c r="S119" s="23" t="str">
        <x:v>25</x:v>
      </x:c>
      <x:c r="T119" s="23" t="str">
        <x:v>1</x:v>
      </x:c>
      <x:c r="U119" s="23" t="str">
        <x:v>0</x:v>
      </x:c>
      <x:c r="V119" s="21" t="str"/>
      <x:c r="W119" s="21" t="str">
        <x:v>governed_eligible</x:v>
      </x:c>
      <x:c r="X119" s="21" t="str">
        <x:v>FSO</x:v>
      </x:c>
      <x:c r="Y119" s="21" t="str">
        <x:v>shared_waveform; shared_resource_allocation</x:v>
      </x:c>
      <x:c r="Z119" s="21" t="str">
        <x:v>mobile_FSO_downlink; beam_aligned_OOK_data_transmission</x:v>
      </x:c>
      <x:c r="AA119" s="21" t="str">
        <x:v>relative_user_position_estimation; user_speed_estimation; beam_alignment_and_tracking</x:v>
      </x:c>
      <x:c r="AB119" s="21" t="str">
        <x:v>3</x:v>
      </x:c>
      <x:c r="AC119" s="21" t="str">
        <x:v>analytical; simulation</x:v>
      </x:c>
      <x:c r="AD119" s="21" t="str">
        <x:v>other</x:v>
      </x:c>
      <x:c r="AE119" s="21" t="str">
        <x:v>direct</x:v>
      </x:c>
    </x:row>
    <x:row r="120" ht="42" customHeight="1">
      <x:c r="A120" s="21" t="str">
        <x:v>STC-SINGLETON-SCR-00915</x:v>
      </x:c>
      <x:c r="B120" s="21" t="str">
        <x:v>SCR-00915</x:v>
      </x:c>
      <x:c r="C120" s="21" t="str">
        <x:v>OISAC_SCR00915</x:v>
      </x:c>
      <x:c r="D120" s="21" t="str">
        <x:v>OISAC_SCR00915</x:v>
      </x:c>
      <x:c r="E120" s="21" t="str"/>
      <x:c r="F120" s="21" t="str">
        <x:v>OISAC_SCR00915</x:v>
      </x:c>
      <x:c r="G120" s="21" t="str">
        <x:v>\cite{OISAC_SCR00915}</x:v>
      </x:c>
      <x:c r="H120" s="21" t="str">
        <x:v>Wang et al. (2025)</x:v>
      </x:c>
      <x:c r="I120" s="21" t="str">
        <x:v>UAV-Aided Flying Retroreflective Optical ISAC with Angle Diversity Transmitters</x:v>
      </x:c>
      <x:c r="J120" s="23" t="str">
        <x:v>2025</x:v>
      </x:c>
      <x:c r="K120" s="21" t="str">
        <x:v>2025 30th OptoElectronics and Communications Conference (OECC) and 2025 International Conference on Photonics in Switching and Computing (PSC)</x:v>
      </x:c>
      <x:c r="L120" s="21" t="str">
        <x:v>10.23919/oecc/psc62146.2025.11110803</x:v>
      </x:c>
      <x:c r="M120" s="21" t="str">
        <x:v>RPT-SCR-00915-01</x:v>
      </x:c>
      <x:c r="N120" s="23" t="str">
        <x:v>1</x:v>
      </x:c>
      <x:c r="O120" s="23" t="str">
        <x:v>0</x:v>
      </x:c>
      <x:c r="P120" s="21" t="str">
        <x:v>RPT-SCR-00915-01</x:v>
      </x:c>
      <x:c r="Q120" s="23" t="str">
        <x:v>1</x:v>
      </x:c>
      <x:c r="R120" s="23" t="str">
        <x:v>10</x:v>
      </x:c>
      <x:c r="S120" s="23" t="str">
        <x:v>17</x:v>
      </x:c>
      <x:c r="T120" s="23" t="str">
        <x:v>0</x:v>
      </x:c>
      <x:c r="U120" s="23" t="str">
        <x:v>0</x:v>
      </x:c>
      <x:c r="V120" s="21" t="str"/>
      <x:c r="W120" s="21" t="str">
        <x:v>governed_eligible</x:v>
      </x:c>
      <x:c r="X120" s="21" t="str">
        <x:v>VLC_LiFi</x:v>
      </x:c>
      <x:c r="Y120" s="21" t="str">
        <x:v>shared_link_or_channel; shared_resource_allocation</x:v>
      </x:c>
      <x:c r="Z120" s="21" t="str">
        <x:v>multi_UAV_optical_downlink; OFDM_data_demodulation</x:v>
      </x:c>
      <x:c r="AA120" s="21" t="str">
        <x:v>UAV_target_ranging; three_dimensional_target_positioning</x:v>
      </x:c>
      <x:c r="AB120" s="21" t="str">
        <x:v>2</x:v>
      </x:c>
      <x:c r="AC120" s="21" t="str">
        <x:v>simulation</x:v>
      </x:c>
      <x:c r="AD120" s="21" t="str">
        <x:v>indoor_positioning; aerospace</x:v>
      </x:c>
      <x:c r="AE120" s="21" t="str">
        <x:v>direct</x:v>
      </x:c>
    </x:row>
    <x:row r="121" ht="42" customHeight="1">
      <x:c r="A121" s="21" t="str">
        <x:v>STC-SINGLETON-SCR-00916</x:v>
      </x:c>
      <x:c r="B121" s="21" t="str">
        <x:v>SCR-00916</x:v>
      </x:c>
      <x:c r="C121" s="21" t="str">
        <x:v>OISAC_SCR00916</x:v>
      </x:c>
      <x:c r="D121" s="21" t="str">
        <x:v>OISAC_SCR00916</x:v>
      </x:c>
      <x:c r="E121" s="21" t="str"/>
      <x:c r="F121" s="21" t="str">
        <x:v>OISAC_SCR00916</x:v>
      </x:c>
      <x:c r="G121" s="21" t="str">
        <x:v>\cite{OISAC_SCR00916}</x:v>
      </x:c>
      <x:c r="H121" s="21" t="str">
        <x:v>Chen et al. (2026)</x:v>
      </x:c>
      <x:c r="I121" s="21" t="str">
        <x:v>Optical Integrated Sensing and Communication Lidar Based on RBPSK-FMCW Joint Waveform and Optical Phased Array</x:v>
      </x:c>
      <x:c r="J121" s="23" t="str">
        <x:v>2026</x:v>
      </x:c>
      <x:c r="K121" s="21" t="str">
        <x:v>Journal of Lightwave Technology</x:v>
      </x:c>
      <x:c r="L121" s="21" t="str">
        <x:v>10.1109/jlt.2026.3667571</x:v>
      </x:c>
      <x:c r="M121" s="21" t="str">
        <x:v>RPT-SCR-00916-01</x:v>
      </x:c>
      <x:c r="N121" s="23" t="str">
        <x:v>1</x:v>
      </x:c>
      <x:c r="O121" s="23" t="str">
        <x:v>0</x:v>
      </x:c>
      <x:c r="P121" s="21" t="str">
        <x:v>RPT-SCR-00916-01</x:v>
      </x:c>
      <x:c r="Q121" s="23" t="str">
        <x:v>1</x:v>
      </x:c>
      <x:c r="R121" s="23" t="str">
        <x:v>12</x:v>
      </x:c>
      <x:c r="S121" s="23" t="str">
        <x:v>31</x:v>
      </x:c>
      <x:c r="T121" s="23" t="str">
        <x:v>3</x:v>
      </x:c>
      <x:c r="U121" s="23" t="str">
        <x:v>0</x:v>
      </x:c>
      <x:c r="V121" s="21" t="str"/>
      <x:c r="W121" s="21" t="str">
        <x:v>governed_eligible</x:v>
      </x:c>
      <x:c r="X121" s="21" t="str">
        <x:v>FSO</x:v>
      </x:c>
      <x:c r="Y121" s="21" t="str">
        <x:v>shared_waveform; shared_hardware; joint_design_or_optimization</x:v>
      </x:c>
      <x:c r="Z121" s="21" t="str">
        <x:v>high_speed_optical_wireless_downlink</x:v>
      </x:c>
      <x:c r="AA121" s="21" t="str">
        <x:v>distance_estimation; velocity_estimation; beam_scanned_Lidar</x:v>
      </x:c>
      <x:c r="AB121" s="21" t="str">
        <x:v>4</x:v>
      </x:c>
      <x:c r="AC121" s="21" t="str">
        <x:v>analytical; simulation; laboratory_experiment</x:v>
      </x:c>
      <x:c r="AD121" s="21" t="str">
        <x:v>other</x:v>
      </x:c>
      <x:c r="AE121" s="21" t="str">
        <x:v>direct</x:v>
      </x:c>
    </x:row>
    <x:row r="122" ht="42" customHeight="1">
      <x:c r="A122" s="21" t="str">
        <x:v>STC-SINGLETON-SCR-00917</x:v>
      </x:c>
      <x:c r="B122" s="21" t="str">
        <x:v>SCR-00917</x:v>
      </x:c>
      <x:c r="C122" s="21" t="str">
        <x:v>OISAC_SCR00917</x:v>
      </x:c>
      <x:c r="D122" s="21" t="str">
        <x:v>OISAC_SCR00917</x:v>
      </x:c>
      <x:c r="E122" s="21" t="str"/>
      <x:c r="F122" s="21" t="str">
        <x:v>OISAC_SCR00917</x:v>
      </x:c>
      <x:c r="G122" s="21" t="str">
        <x:v>\cite{OISAC_SCR00917}</x:v>
      </x:c>
      <x:c r="H122" s="21" t="str">
        <x:v>Nafees et al. (2025)</x:v>
      </x:c>
      <x:c r="I122" s="21" t="str">
        <x:v>Integrated Sensing and Communication for UAV Trajectory Optimization in Mixed FSO-RF Networks in Dynamic Weather Conditions</x:v>
      </x:c>
      <x:c r="J122" s="23" t="str">
        <x:v>2025</x:v>
      </x:c>
      <x:c r="K122" s="21" t="str">
        <x:v>2025 IEEE Wireless Communications and Networking Conference (WCNC)</x:v>
      </x:c>
      <x:c r="L122" s="21" t="str">
        <x:v>10.1109/wcnc61545.2025.10978163</x:v>
      </x:c>
      <x:c r="M122" s="21" t="str">
        <x:v>RPT-SCR-00917-01</x:v>
      </x:c>
      <x:c r="N122" s="23" t="str">
        <x:v>1</x:v>
      </x:c>
      <x:c r="O122" s="23" t="str">
        <x:v>0</x:v>
      </x:c>
      <x:c r="P122" s="21" t="str">
        <x:v>RPT-SCR-00917-01</x:v>
      </x:c>
      <x:c r="Q122" s="23" t="str">
        <x:v>1</x:v>
      </x:c>
      <x:c r="R122" s="23" t="str">
        <x:v>11</x:v>
      </x:c>
      <x:c r="S122" s="23" t="str">
        <x:v>19</x:v>
      </x:c>
      <x:c r="T122" s="23" t="str">
        <x:v>0</x:v>
      </x:c>
      <x:c r="U122" s="23" t="str">
        <x:v>0</x:v>
      </x:c>
      <x:c r="V122" s="21" t="str"/>
      <x:c r="W122" s="21" t="str">
        <x:v>governed_eligible</x:v>
      </x:c>
      <x:c r="X122" s="21" t="str">
        <x:v>FSO</x:v>
      </x:c>
      <x:c r="Y122" s="21" t="str">
        <x:v>shared_resource_allocation; mixed</x:v>
      </x:c>
      <x:c r="Z122" s="21" t="str">
        <x:v>FSO_backhaul; mmWave_UAV_access; mmWave_ground_base_station_access</x:v>
      </x:c>
      <x:c r="AA122" s="21" t="str">
        <x:v>atmospheric_FSO_channel_gain_estimation</x:v>
      </x:c>
      <x:c r="AB122" s="21" t="str">
        <x:v>3</x:v>
      </x:c>
      <x:c r="AC122" s="21" t="str">
        <x:v>analytical; simulation; dataset_based</x:v>
      </x:c>
      <x:c r="AD122" s="21" t="str">
        <x:v>6G_access; environment_monitoring; aerospace</x:v>
      </x:c>
      <x:c r="AE122" s="21" t="str">
        <x:v>direct</x:v>
      </x:c>
    </x:row>
    <x:row r="123" ht="42" customHeight="1">
      <x:c r="A123" s="21" t="str">
        <x:v>STC-SINGLETON-SCR-00918</x:v>
      </x:c>
      <x:c r="B123" s="21" t="str">
        <x:v>SCR-00918</x:v>
      </x:c>
      <x:c r="C123" s="21" t="str">
        <x:v>OISAC_SCR00918</x:v>
      </x:c>
      <x:c r="D123" s="21" t="str">
        <x:v>OISAC_SCR00918</x:v>
      </x:c>
      <x:c r="E123" s="21" t="str"/>
      <x:c r="F123" s="21" t="str">
        <x:v>OISAC_SCR00918</x:v>
      </x:c>
      <x:c r="G123" s="21" t="str">
        <x:v>\cite{OISAC_SCR00918}</x:v>
      </x:c>
      <x:c r="H123" s="21" t="str">
        <x:v>Wang et al. (2026)</x:v>
      </x:c>
      <x:c r="I123" s="21" t="str">
        <x:v>Multiuser Retroreflective Optical ISAC: Waveform Design, Joint Sensing and Multiple Access</x:v>
      </x:c>
      <x:c r="J123" s="23" t="str">
        <x:v>2026</x:v>
      </x:c>
      <x:c r="K123" s="21" t="str">
        <x:v>Journal of Lightwave Technology</x:v>
      </x:c>
      <x:c r="L123" s="21" t="str">
        <x:v>10.1109/jlt.2025.3642513</x:v>
      </x:c>
      <x:c r="M123" s="21" t="str">
        <x:v>RPT-SCR-00918-01</x:v>
      </x:c>
      <x:c r="N123" s="23" t="str">
        <x:v>1</x:v>
      </x:c>
      <x:c r="O123" s="23" t="str">
        <x:v>0</x:v>
      </x:c>
      <x:c r="P123" s="21" t="str">
        <x:v>RPT-SCR-00918-01</x:v>
      </x:c>
      <x:c r="Q123" s="23" t="str">
        <x:v>1</x:v>
      </x:c>
      <x:c r="R123" s="23" t="str">
        <x:v>12</x:v>
      </x:c>
      <x:c r="S123" s="23" t="str">
        <x:v>24</x:v>
      </x:c>
      <x:c r="T123" s="23" t="str">
        <x:v>1</x:v>
      </x:c>
      <x:c r="U123" s="23" t="str">
        <x:v>0</x:v>
      </x:c>
      <x:c r="V123" s="21" t="str"/>
      <x:c r="W123" s="21" t="str">
        <x:v>governed_eligible</x:v>
      </x:c>
      <x:c r="X123" s="21" t="str">
        <x:v>VLC_LiFi</x:v>
      </x:c>
      <x:c r="Y123" s="21" t="str">
        <x:v>shared_waveform; shared_resource_allocation</x:v>
      </x:c>
      <x:c r="Z123" s="21" t="str">
        <x:v>multiuser_optical_downlink; hybrid_multiple_access</x:v>
      </x:c>
      <x:c r="AA123" s="21" t="str">
        <x:v>simultaneous_multiuser_ranging</x:v>
      </x:c>
      <x:c r="AB123" s="21" t="str">
        <x:v>4</x:v>
      </x:c>
      <x:c r="AC123" s="21" t="str">
        <x:v>analytical; laboratory_experiment</x:v>
      </x:c>
      <x:c r="AD123" s="21" t="str">
        <x:v>other</x:v>
      </x:c>
      <x:c r="AE123" s="21" t="str">
        <x:v>direct</x:v>
      </x:c>
    </x:row>
    <x:row r="124" ht="42" customHeight="1">
      <x:c r="A124" s="21" t="str">
        <x:v>STC-SINGLETON-SCR-00919</x:v>
      </x:c>
      <x:c r="B124" s="21" t="str">
        <x:v>SCR-00919</x:v>
      </x:c>
      <x:c r="C124" s="21" t="str">
        <x:v>OISAC_SCR00919</x:v>
      </x:c>
      <x:c r="D124" s="21" t="str">
        <x:v>OISAC_SCR00919</x:v>
      </x:c>
      <x:c r="E124" s="21" t="str"/>
      <x:c r="F124" s="21" t="str">
        <x:v>OISAC_SCR00919</x:v>
      </x:c>
      <x:c r="G124" s="21" t="str">
        <x:v>\cite{OISAC_SCR00919}</x:v>
      </x:c>
      <x:c r="H124" s="21" t="str">
        <x:v>Chen et al. (2025)</x:v>
      </x:c>
      <x:c r="I124" s="21" t="str">
        <x:v>Full-Duplex RO-ISAC System: Wavelength Division Duplexing and Hybrid Waveform Design</x:v>
      </x:c>
      <x:c r="J124" s="23" t="str">
        <x:v>2025</x:v>
      </x:c>
      <x:c r="K124" s="21" t="str">
        <x:v>IEEE Photonics Technology Letters</x:v>
      </x:c>
      <x:c r="L124" s="21" t="str">
        <x:v>10.1109/lpt.2025.3570997</x:v>
      </x:c>
      <x:c r="M124" s="21" t="str">
        <x:v>RPT-SCR-00919-01</x:v>
      </x:c>
      <x:c r="N124" s="23" t="str">
        <x:v>1</x:v>
      </x:c>
      <x:c r="O124" s="23" t="str">
        <x:v>0</x:v>
      </x:c>
      <x:c r="P124" s="21" t="str">
        <x:v>RPT-SCR-00919-01</x:v>
      </x:c>
      <x:c r="Q124" s="23" t="str">
        <x:v>1</x:v>
      </x:c>
      <x:c r="R124" s="23" t="str">
        <x:v>11</x:v>
      </x:c>
      <x:c r="S124" s="23" t="str">
        <x:v>18</x:v>
      </x:c>
      <x:c r="T124" s="23" t="str">
        <x:v>2</x:v>
      </x:c>
      <x:c r="U124" s="23" t="str">
        <x:v>0</x:v>
      </x:c>
      <x:c r="V124" s="21" t="str"/>
      <x:c r="W124" s="21" t="str">
        <x:v>governed_eligible</x:v>
      </x:c>
      <x:c r="X124" s="21" t="str">
        <x:v>VLC_LiFi</x:v>
      </x:c>
      <x:c r="Y124" s="21" t="str">
        <x:v>shared_resource_allocation</x:v>
      </x:c>
      <x:c r="Z124" s="21" t="str">
        <x:v>blue_light_downlink; green_light_uplink; full_duplex_bidirectional_transmission</x:v>
      </x:c>
      <x:c r="AA124" s="21" t="str">
        <x:v>round_trip_distance_estimation</x:v>
      </x:c>
      <x:c r="AB124" s="21" t="str">
        <x:v>4</x:v>
      </x:c>
      <x:c r="AC124" s="21" t="str">
        <x:v>analytical; laboratory_experiment</x:v>
      </x:c>
      <x:c r="AD124" s="21" t="str">
        <x:v>other</x:v>
      </x:c>
      <x:c r="AE124" s="21" t="str">
        <x:v>direct</x:v>
      </x:c>
    </x:row>
    <x:row r="125" ht="42" customHeight="1">
      <x:c r="A125" s="21" t="str">
        <x:v>STC-SINGLETON-SCR-00920</x:v>
      </x:c>
      <x:c r="B125" s="21" t="str">
        <x:v>SCR-00920</x:v>
      </x:c>
      <x:c r="C125" s="21" t="str">
        <x:v>OISAC_SCR00920</x:v>
      </x:c>
      <x:c r="D125" s="21" t="str">
        <x:v>OISAC_SCR00920</x:v>
      </x:c>
      <x:c r="E125" s="21" t="str"/>
      <x:c r="F125" s="21" t="str">
        <x:v>OISAC_SCR00920</x:v>
      </x:c>
      <x:c r="G125" s="21" t="str">
        <x:v>\cite{OISAC_SCR00920}</x:v>
      </x:c>
      <x:c r="H125" s="21" t="str">
        <x:v>Chen et al. (2025)</x:v>
      </x:c>
      <x:c r="I125" s="21" t="str">
        <x:v>Experimental Demonstration of Multi-User Full-Duplex RO-ISAC System</x:v>
      </x:c>
      <x:c r="J125" s="23" t="str">
        <x:v>2025</x:v>
      </x:c>
      <x:c r="K125" s="21" t="str">
        <x:v>2025 Asia Communications and Photonics Conference (ACP)</x:v>
      </x:c>
      <x:c r="L125" s="21" t="str">
        <x:v>10.1109/acp66871.2025.11349803</x:v>
      </x:c>
      <x:c r="M125" s="21" t="str">
        <x:v>RPT-SCR-00920-01</x:v>
      </x:c>
      <x:c r="N125" s="23" t="str">
        <x:v>1</x:v>
      </x:c>
      <x:c r="O125" s="23" t="str">
        <x:v>0</x:v>
      </x:c>
      <x:c r="P125" s="21" t="str">
        <x:v>RPT-SCR-00920-01</x:v>
      </x:c>
      <x:c r="Q125" s="23" t="str">
        <x:v>1</x:v>
      </x:c>
      <x:c r="R125" s="23" t="str">
        <x:v>13</x:v>
      </x:c>
      <x:c r="S125" s="23" t="str">
        <x:v>25</x:v>
      </x:c>
      <x:c r="T125" s="23" t="str">
        <x:v>3</x:v>
      </x:c>
      <x:c r="U125" s="23" t="str">
        <x:v>0</x:v>
      </x:c>
      <x:c r="V125" s="21" t="str"/>
      <x:c r="W125" s="21" t="str">
        <x:v>governed_eligible</x:v>
      </x:c>
      <x:c r="X125" s="21" t="str">
        <x:v>VLC_LiFi</x:v>
      </x:c>
      <x:c r="Y125" s="21" t="str">
        <x:v>shared_waveform; shared_hardware; shared_resource_allocation</x:v>
      </x:c>
      <x:c r="Z125" s="21" t="str">
        <x:v>two_user_downlink_OFDMA; two_user_uplink_DFT_S_OFDM; full_duplex_bidirectional_transmission; BER_evaluation</x:v>
      </x:c>
      <x:c r="AA125" s="21" t="str">
        <x:v>multiuser_time_of_flight_ranging; distance_estimation</x:v>
      </x:c>
      <x:c r="AB125" s="21" t="str">
        <x:v>4</x:v>
      </x:c>
      <x:c r="AC125" s="21" t="str">
        <x:v>laboratory_experiment</x:v>
      </x:c>
      <x:c r="AD125" s="21" t="str">
        <x:v>6G_access</x:v>
      </x:c>
      <x:c r="AE125" s="21" t="str">
        <x:v>direct</x:v>
      </x:c>
    </x:row>
    <x:row r="126" ht="42" customHeight="1">
      <x:c r="A126" s="21" t="str">
        <x:v>STC-SINGLETON-SCR-00922</x:v>
      </x:c>
      <x:c r="B126" s="21" t="str">
        <x:v>SCR-00922</x:v>
      </x:c>
      <x:c r="C126" s="21" t="str">
        <x:v>OISAC_SCR00922</x:v>
      </x:c>
      <x:c r="D126" s="21" t="str">
        <x:v>OISAC_SCR00922</x:v>
      </x:c>
      <x:c r="E126" s="21" t="str"/>
      <x:c r="F126" s="21" t="str">
        <x:v>OISAC_SCR00922</x:v>
      </x:c>
      <x:c r="G126" s="21" t="str">
        <x:v>\cite{OISAC_SCR00922}</x:v>
      </x:c>
      <x:c r="H126" s="21" t="str">
        <x:v>Nafees et al. (2025)</x:v>
      </x:c>
      <x:c r="I126" s="21" t="str">
        <x:v>Leveraging ISAC for Adaptive Cell Zooming in Mixed FSO-RF Networks</x:v>
      </x:c>
      <x:c r="J126" s="23" t="str">
        <x:v>2025</x:v>
      </x:c>
      <x:c r="K126" s="21" t="str">
        <x:v>2025 IEEE 36th International Symposium on Personal, Indoor and Mobile Radio Communications (PIMRC)</x:v>
      </x:c>
      <x:c r="L126" s="21" t="str">
        <x:v>10.1109/pimrc62392.2025.11274730</x:v>
      </x:c>
      <x:c r="M126" s="21" t="str">
        <x:v>RPT-SCR-00922-01</x:v>
      </x:c>
      <x:c r="N126" s="23" t="str">
        <x:v>1</x:v>
      </x:c>
      <x:c r="O126" s="23" t="str">
        <x:v>0</x:v>
      </x:c>
      <x:c r="P126" s="21" t="str">
        <x:v>RPT-SCR-00922-01</x:v>
      </x:c>
      <x:c r="Q126" s="23" t="str">
        <x:v>1</x:v>
      </x:c>
      <x:c r="R126" s="23" t="str">
        <x:v>16</x:v>
      </x:c>
      <x:c r="S126" s="23" t="str">
        <x:v>24</x:v>
      </x:c>
      <x:c r="T126" s="23" t="str">
        <x:v>4</x:v>
      </x:c>
      <x:c r="U126" s="23" t="str">
        <x:v>0</x:v>
      </x:c>
      <x:c r="V126" s="21" t="str"/>
      <x:c r="W126" s="21" t="str">
        <x:v>governed_eligible</x:v>
      </x:c>
      <x:c r="X126" s="21" t="str">
        <x:v>FSO</x:v>
      </x:c>
      <x:c r="Y126" s="21" t="str">
        <x:v>shared_application_scenario; mixed</x:v>
      </x:c>
      <x:c r="Z126" s="21" t="str">
        <x:v>FSO_UAV_backhaul; sub6_GBS_access; mmWave_UAV_access; user_offloading; end_to_end_throughput_maximization</x:v>
      </x:c>
      <x:c r="AA126" s="21" t="str">
        <x:v>atmospheric_FSO_channel_gain_estimation; fog_backscatter_monitoring</x:v>
      </x:c>
      <x:c r="AB126" s="21" t="str">
        <x:v>3</x:v>
      </x:c>
      <x:c r="AC126" s="21" t="str">
        <x:v>analytical; simulation; dataset_based</x:v>
      </x:c>
      <x:c r="AD126" s="21" t="str">
        <x:v>6G_access; aerospace</x:v>
      </x:c>
      <x:c r="AE126" s="21" t="str">
        <x:v>direct</x:v>
      </x:c>
    </x:row>
    <x:row r="127" ht="42" customHeight="1">
      <x:c r="A127" s="21" t="str">
        <x:v>STC-SINGLETON-SCR-00925</x:v>
      </x:c>
      <x:c r="B127" s="21" t="str">
        <x:v>SCR-00925</x:v>
      </x:c>
      <x:c r="C127" s="21" t="str">
        <x:v>OISAC_SCR00925</x:v>
      </x:c>
      <x:c r="D127" s="21" t="str">
        <x:v>OISAC_SCR00925</x:v>
      </x:c>
      <x:c r="E127" s="21" t="str"/>
      <x:c r="F127" s="21" t="str">
        <x:v>OISAC_SCR00925</x:v>
      </x:c>
      <x:c r="G127" s="21" t="str">
        <x:v>\cite{OISAC_SCR00925}</x:v>
      </x:c>
      <x:c r="H127" s="21" t="str">
        <x:v>Luong et al. (2026)</x:v>
      </x:c>
      <x:c r="I127" s="21" t="str">
        <x:v>Performance Analysis of NOMA-Assisted Optical OFDM ISAC Systems with Clipping Distortion</x:v>
      </x:c>
      <x:c r="J127" s="23" t="str">
        <x:v>2026</x:v>
      </x:c>
      <x:c r="K127" s="21" t="str">
        <x:v>2026 IEEE Wireless Communications and Networking Conference (WCNC)</x:v>
      </x:c>
      <x:c r="L127" s="21" t="str">
        <x:v>10.1109/wcnc65185.2026.11555373</x:v>
      </x:c>
      <x:c r="M127" s="21" t="str">
        <x:v>RPT-SCR-00925-01</x:v>
      </x:c>
      <x:c r="N127" s="23" t="str">
        <x:v>1</x:v>
      </x:c>
      <x:c r="O127" s="23" t="str">
        <x:v>0</x:v>
      </x:c>
      <x:c r="P127" s="21" t="str">
        <x:v>RPT-SCR-00925-01</x:v>
      </x:c>
      <x:c r="Q127" s="23" t="str">
        <x:v>1</x:v>
      </x:c>
      <x:c r="R127" s="23" t="str">
        <x:v>17</x:v>
      </x:c>
      <x:c r="S127" s="23" t="str">
        <x:v>31</x:v>
      </x:c>
      <x:c r="T127" s="23" t="str">
        <x:v>4</x:v>
      </x:c>
      <x:c r="U127" s="23" t="str">
        <x:v>0</x:v>
      </x:c>
      <x:c r="V127" s="21" t="str"/>
      <x:c r="W127" s="21" t="str">
        <x:v>governed_eligible</x:v>
      </x:c>
      <x:c r="X127" s="21" t="str">
        <x:v>VLC_LiFi</x:v>
      </x:c>
      <x:c r="Y127" s="21" t="str">
        <x:v>shared_waveform; shared_resource_allocation</x:v>
      </x:c>
      <x:c r="Z127" s="21" t="str">
        <x:v>two_user_downlink_VLC; NOMA_multiuser_access; BER_evaluation; achievable_sum_rate</x:v>
      </x:c>
      <x:c r="AA127" s="21" t="str">
        <x:v>CCR_assisted_link_distance_estimation; time_delay_estimation</x:v>
      </x:c>
      <x:c r="AB127" s="21" t="str">
        <x:v>2</x:v>
      </x:c>
      <x:c r="AC127" s="21" t="str">
        <x:v>analytical; simulation</x:v>
      </x:c>
      <x:c r="AD127" s="21" t="str">
        <x:v>6G_access</x:v>
      </x:c>
      <x:c r="AE127" s="21" t="str">
        <x:v>direct</x:v>
      </x:c>
    </x:row>
    <x:row r="128" ht="42" customHeight="1">
      <x:c r="A128" s="21" t="str">
        <x:v>STC-SINGLETON-SCR-00926</x:v>
      </x:c>
      <x:c r="B128" s="21" t="str">
        <x:v>SCR-00926</x:v>
      </x:c>
      <x:c r="C128" s="21" t="str">
        <x:v>OISAC_SCR00926</x:v>
      </x:c>
      <x:c r="D128" s="21" t="str">
        <x:v>OISAC_SCR00926</x:v>
      </x:c>
      <x:c r="E128" s="21" t="str"/>
      <x:c r="F128" s="21" t="str">
        <x:v>OISAC_SCR00926</x:v>
      </x:c>
      <x:c r="G128" s="21" t="str">
        <x:v>\cite{OISAC_SCR00926}</x:v>
      </x:c>
      <x:c r="H128" s="21" t="str">
        <x:v>Li et al. (2026)</x:v>
      </x:c>
      <x:c r="I128" s="21" t="str">
        <x:v>LACO-OFDM-Based Optical ISAC System Design and Performance Analysis</x:v>
      </x:c>
      <x:c r="J128" s="23" t="str">
        <x:v>2026</x:v>
      </x:c>
      <x:c r="K128" s="21" t="str">
        <x:v>IEEE Internet of Things Journal</x:v>
      </x:c>
      <x:c r="L128" s="21" t="str">
        <x:v>10.1109/jiot.2026.3679668</x:v>
      </x:c>
      <x:c r="M128" s="21" t="str">
        <x:v>RPT-SCR-00926-01</x:v>
      </x:c>
      <x:c r="N128" s="23" t="str">
        <x:v>1</x:v>
      </x:c>
      <x:c r="O128" s="23" t="str">
        <x:v>0</x:v>
      </x:c>
      <x:c r="P128" s="21" t="str">
        <x:v>RPT-SCR-00926-01</x:v>
      </x:c>
      <x:c r="Q128" s="23" t="str">
        <x:v>1</x:v>
      </x:c>
      <x:c r="R128" s="23" t="str">
        <x:v>18</x:v>
      </x:c>
      <x:c r="S128" s="23" t="str">
        <x:v>29</x:v>
      </x:c>
      <x:c r="T128" s="23" t="str">
        <x:v>5</x:v>
      </x:c>
      <x:c r="U128" s="23" t="str">
        <x:v>0</x:v>
      </x:c>
      <x:c r="V128" s="21" t="str"/>
      <x:c r="W128" s="21" t="str">
        <x:v>governed_eligible</x:v>
      </x:c>
      <x:c r="X128" s="21" t="str">
        <x:v>FSO</x:v>
      </x:c>
      <x:c r="Y128" s="21" t="str">
        <x:v>shared_resource_allocation; shared_application_scenario</x:v>
      </x:c>
      <x:c r="Z128" s="21" t="str">
        <x:v>FSO_data_link; ergodic_spectral_efficiency; layerwise_SIC; capacity_optimization</x:v>
      </x:c>
      <x:c r="AA128" s="21" t="str">
        <x:v>cooperative_point_target_ranging; round_trip_delay_estimation</x:v>
      </x:c>
      <x:c r="AB128" s="21" t="str">
        <x:v>3</x:v>
      </x:c>
      <x:c r="AC128" s="21" t="str">
        <x:v>analytical; simulation</x:v>
      </x:c>
      <x:c r="AD128" s="21" t="str">
        <x:v>6G_access; vehicular; aerospace</x:v>
      </x:c>
      <x:c r="AE128" s="21" t="str">
        <x:v>direct</x:v>
      </x:c>
    </x:row>
    <x:row r="129" ht="42" customHeight="1">
      <x:c r="A129" s="21" t="str">
        <x:v>STC-SINGLETON-SCR-00937</x:v>
      </x:c>
      <x:c r="B129" s="21" t="str">
        <x:v>SCR-00937</x:v>
      </x:c>
      <x:c r="C129" s="21" t="str">
        <x:v>OISAC_SCR00937</x:v>
      </x:c>
      <x:c r="D129" s="21" t="str">
        <x:v>OISAC_SCR00937</x:v>
      </x:c>
      <x:c r="E129" s="21" t="str"/>
      <x:c r="F129" s="21" t="str">
        <x:v>OISAC_SCR00937</x:v>
      </x:c>
      <x:c r="G129" s="21" t="str">
        <x:v>\cite{OISAC_SCR00937}</x:v>
      </x:c>
      <x:c r="H129" s="21" t="str">
        <x:v>Liu et al. (2024)</x:v>
      </x:c>
      <x:c r="I129" s="21" t="str">
        <x:v>Simulation of Constant-Envelope THz Integrated Sensing and Communication System Based on Photonics with 2D Positioning</x:v>
      </x:c>
      <x:c r="J129" s="23" t="str">
        <x:v>2024</x:v>
      </x:c>
      <x:c r="K129" s="21" t="str">
        <x:v>2024 Asia Communications and Photonics Conference (ACP) and International Conference on Information Photonics and Optical Communications (IPOC)</x:v>
      </x:c>
      <x:c r="L129" s="21" t="str">
        <x:v>10.1109/acp/ipoc63121.2024.10809603</x:v>
      </x:c>
      <x:c r="M129" s="21" t="str">
        <x:v>RPT-SCR-00937-01</x:v>
      </x:c>
      <x:c r="N129" s="23" t="str">
        <x:v>1</x:v>
      </x:c>
      <x:c r="O129" s="23" t="str">
        <x:v>0</x:v>
      </x:c>
      <x:c r="P129" s="21" t="str">
        <x:v>RPT-SCR-00937-01</x:v>
      </x:c>
      <x:c r="Q129" s="23" t="str">
        <x:v>1</x:v>
      </x:c>
      <x:c r="R129" s="23" t="str">
        <x:v>12</x:v>
      </x:c>
      <x:c r="S129" s="23" t="str">
        <x:v>27</x:v>
      </x:c>
      <x:c r="T129" s="23" t="str">
        <x:v>1</x:v>
      </x:c>
      <x:c r="U129" s="23" t="str">
        <x:v>0</x:v>
      </x:c>
      <x:c r="V129" s="21" t="str"/>
      <x:c r="W129" s="21" t="str">
        <x:v>governed_eligible</x:v>
      </x:c>
      <x:c r="X129" s="21" t="str">
        <x:v>photonic_THz</x:v>
      </x:c>
      <x:c r="Y129" s="21" t="str">
        <x:v>shared_waveform; shared_resource_allocation; joint_design_or_optimization</x:v>
      </x:c>
      <x:c r="Z129" s="21" t="str">
        <x:v>three_stream_THz_data_transmission; 64QAM_CE_OFDM; two_QPSK_LFM_subband_links</x:v>
      </x:c>
      <x:c r="AA129" s="21" t="str">
        <x:v>radar_ranging; coherent_fusion_range_resolution; two_dimensional_target_positioning</x:v>
      </x:c>
      <x:c r="AB129" s="21" t="str">
        <x:v>2</x:v>
      </x:c>
      <x:c r="AC129" s="21" t="str">
        <x:v>analytical; simulation</x:v>
      </x:c>
      <x:c r="AD129" s="21" t="str">
        <x:v>indoor_positioning</x:v>
      </x:c>
      <x:c r="AE129" s="21" t="str">
        <x:v>direct</x:v>
      </x:c>
    </x:row>
    <x:row r="130" ht="42" customHeight="1">
      <x:c r="A130" s="21" t="str">
        <x:v>STC-SINGLETON-SCR-00941</x:v>
      </x:c>
      <x:c r="B130" s="21" t="str">
        <x:v>SCR-00941</x:v>
      </x:c>
      <x:c r="C130" s="21" t="str">
        <x:v>OISAC_SCR00941</x:v>
      </x:c>
      <x:c r="D130" s="21" t="str">
        <x:v>OISAC_SCR00941</x:v>
      </x:c>
      <x:c r="E130" s="21" t="str"/>
      <x:c r="F130" s="21" t="str">
        <x:v>OISAC_SCR00941</x:v>
      </x:c>
      <x:c r="G130" s="21" t="str">
        <x:v>\cite{OISAC_SCR00941}</x:v>
      </x:c>
      <x:c r="H130" s="21" t="str">
        <x:v>Wen et al. (2026)</x:v>
      </x:c>
      <x:c r="I130" s="21" t="str">
        <x:v>Joint Design of Optical Phased Array Beamforming and OFDM Waveform in Optical Wireless Integrated Sensing and Communication</x:v>
      </x:c>
      <x:c r="J130" s="23" t="str">
        <x:v>2026</x:v>
      </x:c>
      <x:c r="K130" s="21" t="str">
        <x:v>IEEE Transactions on Wireless Communications</x:v>
      </x:c>
      <x:c r="L130" s="21" t="str">
        <x:v>10.1109/twc.2025.3647104</x:v>
      </x:c>
      <x:c r="M130" s="21" t="str">
        <x:v>RPT-SCR-00941-01</x:v>
      </x:c>
      <x:c r="N130" s="23" t="str">
        <x:v>1</x:v>
      </x:c>
      <x:c r="O130" s="23" t="str">
        <x:v>0</x:v>
      </x:c>
      <x:c r="P130" s="21" t="str">
        <x:v>RPT-SCR-00941-01</x:v>
      </x:c>
      <x:c r="Q130" s="23" t="str">
        <x:v>1</x:v>
      </x:c>
      <x:c r="R130" s="23" t="str">
        <x:v>38</x:v>
      </x:c>
      <x:c r="S130" s="23" t="str">
        <x:v>12</x:v>
      </x:c>
      <x:c r="T130" s="23" t="str">
        <x:v>5</x:v>
      </x:c>
      <x:c r="U130" s="23" t="str">
        <x:v>0</x:v>
      </x:c>
      <x:c r="V130" s="21" t="str"/>
      <x:c r="W130" s="21" t="str">
        <x:v>governed_eligible</x:v>
      </x:c>
      <x:c r="X130" s="21" t="str">
        <x:v>FSO</x:v>
      </x:c>
      <x:c r="Y130" s="21" t="str">
        <x:v>shared_waveform; shared_hardware; shared_optical_carrier; shared_resource_allocation; joint_design_or_optimization</x:v>
      </x:c>
      <x:c r="Z130" s="21" t="str">
        <x:v>data_transmission; channel_estimation</x:v>
      </x:c>
      <x:c r="AA130" s="21" t="str">
        <x:v>ranging; environmental_perception</x:v>
      </x:c>
      <x:c r="AB130" s="21" t="str">
        <x:v>2</x:v>
      </x:c>
      <x:c r="AC130" s="21" t="str">
        <x:v>analytical; simulation</x:v>
      </x:c>
      <x:c r="AD130" s="21" t="str">
        <x:v>6G_access; vehicular; environment_monitoring</x:v>
      </x:c>
      <x:c r="AE130" s="21" t="str">
        <x:v>direct</x:v>
      </x:c>
    </x:row>
    <x:row r="131" ht="42" customHeight="1">
      <x:c r="A131" s="21" t="str">
        <x:v>STC-SINGLETON-SCR-00943</x:v>
      </x:c>
      <x:c r="B131" s="21" t="str">
        <x:v>SCR-00943</x:v>
      </x:c>
      <x:c r="C131" s="21" t="str">
        <x:v>OISAC_SCR00943</x:v>
      </x:c>
      <x:c r="D131" s="21" t="str">
        <x:v>OISAC_SCR00943</x:v>
      </x:c>
      <x:c r="E131" s="21" t="str"/>
      <x:c r="F131" s="21" t="str">
        <x:v>OISAC_SCR00943</x:v>
      </x:c>
      <x:c r="G131" s="21" t="str">
        <x:v>\cite{OISAC_SCR00943}</x:v>
      </x:c>
      <x:c r="H131" s="21" t="str">
        <x:v>Jiang et al. (2023)</x:v>
      </x:c>
      <x:c r="I131" s="21" t="str">
        <x:v>Monolithic III-Nitride Photonic Circuit for Integrated Sensing and Communication System</x:v>
      </x:c>
      <x:c r="J131" s="23" t="str">
        <x:v>2023</x:v>
      </x:c>
      <x:c r="K131" s="21" t="str">
        <x:v>2023 20th China International Forum on Solid State Lighting &amp; 2023 9th International Forum on Wide Bandgap Semiconductors (SSLCHINA: IFWS)</x:v>
      </x:c>
      <x:c r="L131" s="21" t="str">
        <x:v>10.1109/sslchinaifws60785.2023.10399712</x:v>
      </x:c>
      <x:c r="M131" s="21" t="str">
        <x:v>RPT-SCR-00943-01</x:v>
      </x:c>
      <x:c r="N131" s="23" t="str">
        <x:v>1</x:v>
      </x:c>
      <x:c r="O131" s="23" t="str">
        <x:v>0</x:v>
      </x:c>
      <x:c r="P131" s="21" t="str">
        <x:v>RPT-SCR-00943-01</x:v>
      </x:c>
      <x:c r="Q131" s="23" t="str">
        <x:v>1</x:v>
      </x:c>
      <x:c r="R131" s="23" t="str">
        <x:v>10</x:v>
      </x:c>
      <x:c r="S131" s="23" t="str">
        <x:v>15</x:v>
      </x:c>
      <x:c r="T131" s="23" t="str">
        <x:v>0</x:v>
      </x:c>
      <x:c r="U131" s="23" t="str">
        <x:v>0</x:v>
      </x:c>
      <x:c r="V131" s="21" t="str"/>
      <x:c r="W131" s="21" t="str">
        <x:v>governed_eligible</x:v>
      </x:c>
      <x:c r="X131" s="21" t="str">
        <x:v>VLC_LiFi</x:v>
      </x:c>
      <x:c r="Y131" s="21" t="str">
        <x:v>shared_hardware; shared_link_or_channel</x:v>
      </x:c>
      <x:c r="Z131" s="21" t="str">
        <x:v>in_plane_on_chip_optical_communication; optical_interconnect</x:v>
      </x:c>
      <x:c r="AA131" s="21" t="str">
        <x:v>dynamic_liquid_presence_sensing; ethanol_detection; coupling_efficiency_monitoring</x:v>
      </x:c>
      <x:c r="AB131" s="21" t="str">
        <x:v>5</x:v>
      </x:c>
      <x:c r="AC131" s="21" t="str">
        <x:v>laboratory_experiment; prototype_testbed</x:v>
      </x:c>
      <x:c r="AD131" s="21" t="str">
        <x:v>other</x:v>
      </x:c>
      <x:c r="AE131" s="21" t="str">
        <x:v>direct</x:v>
      </x:c>
    </x:row>
    <x:row r="132" ht="42" customHeight="1">
      <x:c r="A132" s="21" t="str">
        <x:v>STC-SINGLETON-SCR-00944</x:v>
      </x:c>
      <x:c r="B132" s="21" t="str">
        <x:v>SCR-00944</x:v>
      </x:c>
      <x:c r="C132" s="21" t="str">
        <x:v>OISAC_SCR00944</x:v>
      </x:c>
      <x:c r="D132" s="21" t="str">
        <x:v>OISAC_SCR00944</x:v>
      </x:c>
      <x:c r="E132" s="21" t="str"/>
      <x:c r="F132" s="21" t="str">
        <x:v>OISAC_SCR00944</x:v>
      </x:c>
      <x:c r="G132" s="21" t="str">
        <x:v>\cite{OISAC_SCR00944}</x:v>
      </x:c>
      <x:c r="H132" s="21" t="str">
        <x:v>Safiriyu et al. (2025)</x:v>
      </x:c>
      <x:c r="I132" s="21" t="str">
        <x:v>Heterogeneous Integrated III-V-on-Soi Transmitter for 6G FiWi mmWave/FSO Integrated Sensing and Communication</x:v>
      </x:c>
      <x:c r="J132" s="23" t="str">
        <x:v>2025</x:v>
      </x:c>
      <x:c r="K132" s="21" t="str">
        <x:v>2025 European Conference on Optical Communications (ECOC)</x:v>
      </x:c>
      <x:c r="L132" s="21" t="str">
        <x:v>10.1109/ecoc66593.2025.11263375</x:v>
      </x:c>
      <x:c r="M132" s="21" t="str">
        <x:v>RPT-SCR-00944-01</x:v>
      </x:c>
      <x:c r="N132" s="23" t="str">
        <x:v>1</x:v>
      </x:c>
      <x:c r="O132" s="23" t="str">
        <x:v>0</x:v>
      </x:c>
      <x:c r="P132" s="21" t="str">
        <x:v>RPT-SCR-00944-01</x:v>
      </x:c>
      <x:c r="Q132" s="23" t="str">
        <x:v>1</x:v>
      </x:c>
      <x:c r="R132" s="23" t="str">
        <x:v>12</x:v>
      </x:c>
      <x:c r="S132" s="23" t="str">
        <x:v>25</x:v>
      </x:c>
      <x:c r="T132" s="23" t="str">
        <x:v>1</x:v>
      </x:c>
      <x:c r="U132" s="23" t="str">
        <x:v>0</x:v>
      </x:c>
      <x:c r="V132" s="21" t="str"/>
      <x:c r="W132" s="21" t="str">
        <x:v>governed_eligible</x:v>
      </x:c>
      <x:c r="X132" s="21" t="str">
        <x:v>hybrid_optical</x:v>
      </x:c>
      <x:c r="Y132" s="21" t="str">
        <x:v>shared_hardware; shared_link_or_channel; shared_resource_allocation</x:v>
      </x:c>
      <x:c r="Z132" s="21" t="str">
        <x:v>fiber_wireless_fronthaul; free_space_optical_link; mmWave_16QAM_data_transport</x:v>
      </x:c>
      <x:c r="AA132" s="21" t="str">
        <x:v>LFMCW_radar_ranging; object_detection; motion_sensing_waveform_generation</x:v>
      </x:c>
      <x:c r="AB132" s="21" t="str">
        <x:v>5</x:v>
      </x:c>
      <x:c r="AC132" s="21" t="str">
        <x:v>analytical; laboratory_experiment; prototype_testbed</x:v>
      </x:c>
      <x:c r="AD132" s="21" t="str">
        <x:v>6G_access; vehicular; optical_access_network</x:v>
      </x:c>
      <x:c r="AE132" s="21" t="str">
        <x:v>direct</x:v>
      </x:c>
    </x:row>
    <x:row r="133" ht="42" customHeight="1">
      <x:c r="A133" s="21" t="str">
        <x:v>STC-SINGLETON-SCR-00949</x:v>
      </x:c>
      <x:c r="B133" s="21" t="str">
        <x:v>SCR-00949</x:v>
      </x:c>
      <x:c r="C133" s="21" t="str">
        <x:v>OISAC_SCR00949</x:v>
      </x:c>
      <x:c r="D133" s="21" t="str">
        <x:v>OISAC_SCR00949</x:v>
      </x:c>
      <x:c r="E133" s="21" t="str"/>
      <x:c r="F133" s="21" t="str">
        <x:v>OISAC_SCR00949</x:v>
      </x:c>
      <x:c r="G133" s="21" t="str">
        <x:v>\cite{OISAC_SCR00949}</x:v>
      </x:c>
      <x:c r="H133" s="21" t="str">
        <x:v>Li et al. (2022)</x:v>
      </x:c>
      <x:c r="I133" s="21" t="str">
        <x:v>Double-effect DNN-based DBP Scheme for Integrated Sensing and Communications (ISAC)</x:v>
      </x:c>
      <x:c r="J133" s="23" t="str">
        <x:v>2022</x:v>
      </x:c>
      <x:c r="K133" s="21" t="str">
        <x:v>2022 Optical Fiber Communications Conference and Exhibition (OFC)</x:v>
      </x:c>
      <x:c r="L133" s="21" t="str"/>
      <x:c r="M133" s="21" t="str">
        <x:v>RPT-SCR-00949-01</x:v>
      </x:c>
      <x:c r="N133" s="23" t="str">
        <x:v>1</x:v>
      </x:c>
      <x:c r="O133" s="23" t="str">
        <x:v>0</x:v>
      </x:c>
      <x:c r="P133" s="21" t="str">
        <x:v>RPT-SCR-00949-01</x:v>
      </x:c>
      <x:c r="Q133" s="23" t="str">
        <x:v>1</x:v>
      </x:c>
      <x:c r="R133" s="23" t="str">
        <x:v>10</x:v>
      </x:c>
      <x:c r="S133" s="23" t="str">
        <x:v>21</x:v>
      </x:c>
      <x:c r="T133" s="23" t="str">
        <x:v>0</x:v>
      </x:c>
      <x:c r="U133" s="23" t="str">
        <x:v>0</x:v>
      </x:c>
      <x:c r="V133" s="21" t="str"/>
      <x:c r="W133" s="21" t="str">
        <x:v>governed_eligible</x:v>
      </x:c>
      <x:c r="X133" s="21" t="str">
        <x:v>fiber</x:v>
      </x:c>
      <x:c r="Y133" s="21" t="str">
        <x:v>shared_waveform</x:v>
      </x:c>
      <x:c r="Z133" s="21" t="str">
        <x:v>long_haul_coherent_optical_transmission; nonlinear_impairment_compensation</x:v>
      </x:c>
      <x:c r="AA133" s="21" t="str">
        <x:v>distributed_power_profile_estimation; abnormal_loss_detection</x:v>
      </x:c>
      <x:c r="AB133" s="21" t="str">
        <x:v>3</x:v>
      </x:c>
      <x:c r="AC133" s="21" t="str">
        <x:v>analytical; simulation</x:v>
      </x:c>
      <x:c r="AD133" s="21" t="str">
        <x:v>environment_monitoring</x:v>
      </x:c>
      <x:c r="AE133" s="21" t="str">
        <x:v>inferred</x:v>
      </x:c>
    </x:row>
    <x:row r="134" ht="42" customHeight="1">
      <x:c r="A134" s="21" t="str">
        <x:v>STC-SINGLETON-SCR-00953</x:v>
      </x:c>
      <x:c r="B134" s="21" t="str">
        <x:v>SCR-00953</x:v>
      </x:c>
      <x:c r="C134" s="21" t="str">
        <x:v>OISAC_SCR00953</x:v>
      </x:c>
      <x:c r="D134" s="21" t="str">
        <x:v>OISAC_SCR00953</x:v>
      </x:c>
      <x:c r="E134" s="21" t="str"/>
      <x:c r="F134" s="21" t="str">
        <x:v>OISAC_SCR00953</x:v>
      </x:c>
      <x:c r="G134" s="21" t="str">
        <x:v>\cite{OISAC_SCR00953}</x:v>
      </x:c>
      <x:c r="H134" s="21" t="str">
        <x:v>Lyu et al. (2023)</x:v>
      </x:c>
      <x:c r="I134" s="21" t="str">
        <x:v>A Beam-Scannable Photonic THz-ISAC System Based on Risley Prisms</x:v>
      </x:c>
      <x:c r="J134" s="23" t="str">
        <x:v>2023</x:v>
      </x:c>
      <x:c r="K134" s="21" t="str">
        <x:v>2023 Asia Communications and Photonics Conference/2023 International Photonics and Optoelectronics Meetings (ACP/POEM)</x:v>
      </x:c>
      <x:c r="L134" s="21" t="str">
        <x:v>10.1109/acp/poem59049.2023.10368958</x:v>
      </x:c>
      <x:c r="M134" s="21" t="str">
        <x:v>RPT-SCR-00953-01</x:v>
      </x:c>
      <x:c r="N134" s="23" t="str">
        <x:v>1</x:v>
      </x:c>
      <x:c r="O134" s="23" t="str">
        <x:v>0</x:v>
      </x:c>
      <x:c r="P134" s="21" t="str">
        <x:v>RPT-SCR-00953-01</x:v>
      </x:c>
      <x:c r="Q134" s="23" t="str">
        <x:v>1</x:v>
      </x:c>
      <x:c r="R134" s="23" t="str">
        <x:v>11</x:v>
      </x:c>
      <x:c r="S134" s="23" t="str">
        <x:v>21</x:v>
      </x:c>
      <x:c r="T134" s="23" t="str">
        <x:v>1</x:v>
      </x:c>
      <x:c r="U134" s="23" t="str">
        <x:v>0</x:v>
      </x:c>
      <x:c r="V134" s="21" t="str"/>
      <x:c r="W134" s="21" t="str">
        <x:v>governed_eligible</x:v>
      </x:c>
      <x:c r="X134" s="21" t="str">
        <x:v>photonic_THz</x:v>
      </x:c>
      <x:c r="Y134" s="21" t="str">
        <x:v>shared_waveform; joint_design_or_optimization</x:v>
      </x:c>
      <x:c r="Z134" s="21" t="str">
        <x:v>20_Gbps_QPSK_THz_wireless_link</x:v>
      </x:c>
      <x:c r="AA134" s="21" t="str">
        <x:v>radar_ranging; beam_scanned_target_coverage</x:v>
      </x:c>
      <x:c r="AB134" s="21" t="str">
        <x:v>4</x:v>
      </x:c>
      <x:c r="AC134" s="21" t="str">
        <x:v>analytical; laboratory_experiment</x:v>
      </x:c>
      <x:c r="AD134" s="21" t="str">
        <x:v>other</x:v>
      </x:c>
      <x:c r="AE134" s="21" t="str">
        <x:v>direct</x:v>
      </x:c>
    </x:row>
    <x:row r="135" ht="42" customHeight="1">
      <x:c r="A135" s="21" t="str">
        <x:v>STC-SINGLETON-SCR-00954</x:v>
      </x:c>
      <x:c r="B135" s="21" t="str">
        <x:v>SCR-00954</x:v>
      </x:c>
      <x:c r="C135" s="21" t="str">
        <x:v>OISAC_SCR00954</x:v>
      </x:c>
      <x:c r="D135" s="21" t="str">
        <x:v>OISAC_SCR00954</x:v>
      </x:c>
      <x:c r="E135" s="21" t="str"/>
      <x:c r="F135" s="21" t="str">
        <x:v>OISAC_SCR00954</x:v>
      </x:c>
      <x:c r="G135" s="21" t="str">
        <x:v>\cite{OISAC_SCR00954}</x:v>
      </x:c>
      <x:c r="H135" s="21" t="str">
        <x:v>Liu et al. (2026)</x:v>
      </x:c>
      <x:c r="I135" s="21" t="str">
        <x:v>Signal-Signal Beating Interference: From Destructive to Constructive for Photonic THz Integrated Sensing and Communication System Using Self-Coherent OFDM</x:v>
      </x:c>
      <x:c r="J135" s="23" t="str">
        <x:v>2026</x:v>
      </x:c>
      <x:c r="K135" s="21" t="str">
        <x:v>IEEE Transactions on Microwave Theory and Techniques</x:v>
      </x:c>
      <x:c r="L135" s="21" t="str">
        <x:v>10.1109/tmtt.2025.3638469</x:v>
      </x:c>
      <x:c r="M135" s="21" t="str">
        <x:v>RPT-SCR-00954-01</x:v>
      </x:c>
      <x:c r="N135" s="23" t="str">
        <x:v>1</x:v>
      </x:c>
      <x:c r="O135" s="23" t="str">
        <x:v>0</x:v>
      </x:c>
      <x:c r="P135" s="21" t="str">
        <x:v>RPT-SCR-00954-01</x:v>
      </x:c>
      <x:c r="Q135" s="23" t="str">
        <x:v>1</x:v>
      </x:c>
      <x:c r="R135" s="23" t="str">
        <x:v>11</x:v>
      </x:c>
      <x:c r="S135" s="23" t="str">
        <x:v>24</x:v>
      </x:c>
      <x:c r="T135" s="23" t="str">
        <x:v>1</x:v>
      </x:c>
      <x:c r="U135" s="23" t="str">
        <x:v>0</x:v>
      </x:c>
      <x:c r="V135" s="21" t="str"/>
      <x:c r="W135" s="21" t="str">
        <x:v>governed_eligible</x:v>
      </x:c>
      <x:c r="X135" s="21" t="str">
        <x:v>photonic_THz</x:v>
      </x:c>
      <x:c r="Y135" s="21" t="str">
        <x:v>shared_resource_allocation</x:v>
      </x:c>
      <x:c r="Z135" s="21" t="str">
        <x:v>20_Gbps_self_coherent_OFDM_link</x:v>
      </x:c>
      <x:c r="AA135" s="21" t="str">
        <x:v>single_target_ranging; range_resolution_enhancement; sidelobe_suppression</x:v>
      </x:c>
      <x:c r="AB135" s="21" t="str">
        <x:v>4</x:v>
      </x:c>
      <x:c r="AC135" s="21" t="str">
        <x:v>analytical; simulation; laboratory_experiment</x:v>
      </x:c>
      <x:c r="AD135" s="21" t="str">
        <x:v>6G_access</x:v>
      </x:c>
      <x:c r="AE135" s="21" t="str">
        <x:v>direct</x:v>
      </x:c>
    </x:row>
    <x:row r="136" ht="42" customHeight="1">
      <x:c r="A136" s="21" t="str">
        <x:v>STC-SINGLETON-SCR-00959</x:v>
      </x:c>
      <x:c r="B136" s="21" t="str">
        <x:v>SCR-00959</x:v>
      </x:c>
      <x:c r="C136" s="21" t="str">
        <x:v>OISAC_SCR00959</x:v>
      </x:c>
      <x:c r="D136" s="21" t="str">
        <x:v>OISAC_SCR00959</x:v>
      </x:c>
      <x:c r="E136" s="21" t="str"/>
      <x:c r="F136" s="21" t="str">
        <x:v>OISAC_SCR00959</x:v>
      </x:c>
      <x:c r="G136" s="21" t="str">
        <x:v>\cite{OISAC_SCR00959}</x:v>
      </x:c>
      <x:c r="H136" s="21" t="str">
        <x:v>Wang et al. (2025)</x:v>
      </x:c>
      <x:c r="I136" s="21" t="str">
        <x:v>Fiber Events Recognition in Integrated Sensing and Communication Systems Based on Signal State of Polarization Analysis</x:v>
      </x:c>
      <x:c r="J136" s="23" t="str">
        <x:v>2025</x:v>
      </x:c>
      <x:c r="K136" s="21" t="str">
        <x:v>2025 Photonics &amp; Electromagnetics Research Symposium - Fall (PIERS-Fall)</x:v>
      </x:c>
      <x:c r="L136" s="21" t="str">
        <x:v>10.23919/piers-fall62445.2025.11394123</x:v>
      </x:c>
      <x:c r="M136" s="21" t="str">
        <x:v>RPT-SCR-00959-01</x:v>
      </x:c>
      <x:c r="N136" s="23" t="str">
        <x:v>1</x:v>
      </x:c>
      <x:c r="O136" s="23" t="str">
        <x:v>0</x:v>
      </x:c>
      <x:c r="P136" s="21" t="str">
        <x:v>RPT-SCR-00959-01</x:v>
      </x:c>
      <x:c r="Q136" s="23" t="str">
        <x:v>1</x:v>
      </x:c>
      <x:c r="R136" s="23" t="str">
        <x:v>17</x:v>
      </x:c>
      <x:c r="S136" s="23" t="str">
        <x:v>29</x:v>
      </x:c>
      <x:c r="T136" s="23" t="str">
        <x:v>3</x:v>
      </x:c>
      <x:c r="U136" s="23" t="str">
        <x:v>0</x:v>
      </x:c>
      <x:c r="V136" s="21" t="str"/>
      <x:c r="W136" s="21" t="str">
        <x:v>governed_eligible</x:v>
      </x:c>
      <x:c r="X136" s="21" t="str">
        <x:v>fiber</x:v>
      </x:c>
      <x:c r="Y136" s="21" t="str">
        <x:v>shared_waveform</x:v>
      </x:c>
      <x:c r="Z136" s="21" t="str">
        <x:v>coherent_optical_signal_transmission; coherent_reception; channel_matrix_estimation</x:v>
      </x:c>
      <x:c r="AA136" s="21" t="str">
        <x:v>fiber_perturbation_event_recognition; three_class_classification_of_swinging_rotation_and_digging</x:v>
      </x:c>
      <x:c r="AB136" s="21" t="str">
        <x:v>4</x:v>
      </x:c>
      <x:c r="AC136" s="21" t="str">
        <x:v>dataset_based; laboratory_experiment</x:v>
      </x:c>
      <x:c r="AD136" s="21" t="str">
        <x:v>environment_monitoring; smart_infrastructure</x:v>
      </x:c>
      <x:c r="AE136" s="21" t="str">
        <x:v>weak</x:v>
      </x:c>
    </x:row>
    <x:row r="137" ht="42" customHeight="1">
      <x:c r="A137" s="21" t="str">
        <x:v>STC-SINGLETON-SCR-00965</x:v>
      </x:c>
      <x:c r="B137" s="21" t="str">
        <x:v>SCR-00965</x:v>
      </x:c>
      <x:c r="C137" s="21" t="str">
        <x:v>OISAC_SCR00965</x:v>
      </x:c>
      <x:c r="D137" s="21" t="str">
        <x:v>OISAC_SCR00965</x:v>
      </x:c>
      <x:c r="E137" s="21" t="str"/>
      <x:c r="F137" s="21" t="str">
        <x:v>OISAC_SCR00965</x:v>
      </x:c>
      <x:c r="G137" s="21" t="str">
        <x:v>\cite{OISAC_SCR00965}</x:v>
      </x:c>
      <x:c r="H137" s="21" t="str">
        <x:v>Chen et al. (2026)</x:v>
      </x:c>
      <x:c r="I137" s="21" t="str">
        <x:v>Microwave Photonics Empowered Minimalist Base Station for Integrated Sensing and Communication via Cascaded Intensity and Phase Modulation</x:v>
      </x:c>
      <x:c r="J137" s="23" t="str">
        <x:v>2026</x:v>
      </x:c>
      <x:c r="K137" s="21" t="str">
        <x:v>Journal of Lightwave Technology</x:v>
      </x:c>
      <x:c r="L137" s="21" t="str">
        <x:v>10.1109/jlt.2026.3692563</x:v>
      </x:c>
      <x:c r="M137" s="21" t="str">
        <x:v>RPT-SCR-00965-01</x:v>
      </x:c>
      <x:c r="N137" s="23" t="str">
        <x:v>1</x:v>
      </x:c>
      <x:c r="O137" s="23" t="str">
        <x:v>0</x:v>
      </x:c>
      <x:c r="P137" s="21" t="str">
        <x:v>RPT-SCR-00965-01</x:v>
      </x:c>
      <x:c r="Q137" s="23" t="str">
        <x:v>1</x:v>
      </x:c>
      <x:c r="R137" s="23" t="str">
        <x:v>20</x:v>
      </x:c>
      <x:c r="S137" s="23" t="str">
        <x:v>41</x:v>
      </x:c>
      <x:c r="T137" s="23" t="str">
        <x:v>4</x:v>
      </x:c>
      <x:c r="U137" s="23" t="str">
        <x:v>0</x:v>
      </x:c>
      <x:c r="V137" s="21" t="str"/>
      <x:c r="W137" s="21" t="str">
        <x:v>governed_eligible</x:v>
      </x:c>
      <x:c r="X137" s="21" t="str">
        <x:v>photonic_THz</x:v>
      </x:c>
      <x:c r="Y137" s="21" t="str">
        <x:v>shared_optical_carrier; shared_resource_allocation</x:v>
      </x:c>
      <x:c r="Z137" s="21" t="str">
        <x:v>downlink_64_QAM_wireless_transmission; analog_radio_over_fiber_fronthaul; equivalent_CPRI_transport</x:v>
      </x:c>
      <x:c r="AA137" s="21" t="str">
        <x:v>wireless_target_ranging</x:v>
      </x:c>
      <x:c r="AB137" s="21" t="str">
        <x:v>4</x:v>
      </x:c>
      <x:c r="AC137" s="21" t="str">
        <x:v>analytical; laboratory_experiment; prototype_testbed</x:v>
      </x:c>
      <x:c r="AD137" s="21" t="str">
        <x:v>6G_access; optical_access_network</x:v>
      </x:c>
      <x:c r="AE137" s="21" t="str">
        <x:v>direct</x:v>
      </x:c>
    </x:row>
    <x:row r="138" ht="42" customHeight="1">
      <x:c r="A138" s="21" t="str">
        <x:v>STC-SINGLETON-SCR-00970</x:v>
      </x:c>
      <x:c r="B138" s="21" t="str">
        <x:v>SCR-00970</x:v>
      </x:c>
      <x:c r="C138" s="21" t="str">
        <x:v>OISAC_SCR00970</x:v>
      </x:c>
      <x:c r="D138" s="21" t="str">
        <x:v>OISAC_SCR00970</x:v>
      </x:c>
      <x:c r="E138" s="21" t="str"/>
      <x:c r="F138" s="21" t="str">
        <x:v>OISAC_SCR00970</x:v>
      </x:c>
      <x:c r="G138" s="21" t="str">
        <x:v>\cite{OISAC_SCR00970}</x:v>
      </x:c>
      <x:c r="H138" s="21" t="str">
        <x:v>Zhong et al. (2023)</x:v>
      </x:c>
      <x:c r="I138" s="21" t="str">
        <x:v>Spectral-Efficient Frequency-Division Photonic Millimeter-Wave Integrated Sensing and Communication System Using Improved Sparse LFM Sub-Bands Fusion</x:v>
      </x:c>
      <x:c r="J138" s="23" t="str">
        <x:v>2023</x:v>
      </x:c>
      <x:c r="K138" s="21" t="str">
        <x:v>Journal of Lightwave Technology</x:v>
      </x:c>
      <x:c r="L138" s="21" t="str">
        <x:v>10.1109/jlt.2023.3265799</x:v>
      </x:c>
      <x:c r="M138" s="21" t="str">
        <x:v>RPT-SCR-00970-01</x:v>
      </x:c>
      <x:c r="N138" s="23" t="str">
        <x:v>1</x:v>
      </x:c>
      <x:c r="O138" s="23" t="str">
        <x:v>0</x:v>
      </x:c>
      <x:c r="P138" s="21" t="str">
        <x:v>RPT-SCR-00970-01</x:v>
      </x:c>
      <x:c r="Q138" s="23" t="str">
        <x:v>1</x:v>
      </x:c>
      <x:c r="R138" s="23" t="str">
        <x:v>14</x:v>
      </x:c>
      <x:c r="S138" s="23" t="str">
        <x:v>27</x:v>
      </x:c>
      <x:c r="T138" s="23" t="str">
        <x:v>1</x:v>
      </x:c>
      <x:c r="U138" s="23" t="str">
        <x:v>0</x:v>
      </x:c>
      <x:c r="V138" s="21" t="str"/>
      <x:c r="W138" s="21" t="str">
        <x:v>governed_eligible</x:v>
      </x:c>
      <x:c r="X138" s="21" t="str">
        <x:v>photonic_THz</x:v>
      </x:c>
      <x:c r="Y138" s="21" t="str">
        <x:v>shared_hardware; shared_resource_allocation; joint_design_or_optimization</x:v>
      </x:c>
      <x:c r="Z138" s="21" t="str">
        <x:v>point_to_point_mmWave_OFDM_communication; 16QAM_data_transport</x:v>
      </x:c>
      <x:c r="AA138" s="21" t="str">
        <x:v>radar_ranging; two_target_resolution; range_profile_synthesis; ISAR_imaging</x:v>
      </x:c>
      <x:c r="AB138" s="21" t="str">
        <x:v>5</x:v>
      </x:c>
      <x:c r="AC138" s="21" t="str">
        <x:v>analytical; laboratory_experiment; prototype_testbed</x:v>
      </x:c>
      <x:c r="AD138" s="21" t="str">
        <x:v>6G_access</x:v>
      </x:c>
      <x:c r="AE138" s="21" t="str">
        <x:v>direct</x:v>
      </x:c>
    </x:row>
    <x:row r="139" ht="42" customHeight="1">
      <x:c r="A139" s="21" t="str">
        <x:v>STC-SINGLETON-SCR-00974</x:v>
      </x:c>
      <x:c r="B139" s="21" t="str">
        <x:v>SCR-00974</x:v>
      </x:c>
      <x:c r="C139" s="21" t="str">
        <x:v>OISAC_SCR00974</x:v>
      </x:c>
      <x:c r="D139" s="21" t="str">
        <x:v>OISAC_SCR00974</x:v>
      </x:c>
      <x:c r="E139" s="21" t="str"/>
      <x:c r="F139" s="21" t="str">
        <x:v>OISAC_SCR00974</x:v>
      </x:c>
      <x:c r="G139" s="21" t="str">
        <x:v>\cite{OISAC_SCR00974}</x:v>
      </x:c>
      <x:c r="H139" s="21" t="str">
        <x:v>Wang et al. (2026)</x:v>
      </x:c>
      <x:c r="I139" s="21" t="str">
        <x:v>Bit Inversion Probabilistic Shaping Enabling Performance Tradeoff in Photonics-Aided Millimeter-Wave OFDM Integrated Sensing and Communication Systems</x:v>
      </x:c>
      <x:c r="J139" s="23" t="str">
        <x:v>2026</x:v>
      </x:c>
      <x:c r="K139" s="21" t="str">
        <x:v>IEEE Transactions on Microwave Theory and Techniques</x:v>
      </x:c>
      <x:c r="L139" s="21" t="str">
        <x:v>10.1109/tmtt.2025.3643433</x:v>
      </x:c>
      <x:c r="M139" s="21" t="str">
        <x:v>RPT-SCR-00974-01</x:v>
      </x:c>
      <x:c r="N139" s="23" t="str">
        <x:v>1</x:v>
      </x:c>
      <x:c r="O139" s="23" t="str">
        <x:v>0</x:v>
      </x:c>
      <x:c r="P139" s="21" t="str">
        <x:v>RPT-SCR-00974-01</x:v>
      </x:c>
      <x:c r="Q139" s="23" t="str">
        <x:v>1</x:v>
      </x:c>
      <x:c r="R139" s="23" t="str">
        <x:v>15</x:v>
      </x:c>
      <x:c r="S139" s="23" t="str">
        <x:v>28</x:v>
      </x:c>
      <x:c r="T139" s="23" t="str">
        <x:v>1</x:v>
      </x:c>
      <x:c r="U139" s="23" t="str">
        <x:v>0</x:v>
      </x:c>
      <x:c r="V139" s="21" t="str"/>
      <x:c r="W139" s="21" t="str">
        <x:v>governed_eligible</x:v>
      </x:c>
      <x:c r="X139" s="21" t="str">
        <x:v>photonic_THz</x:v>
      </x:c>
      <x:c r="Y139" s="21" t="str">
        <x:v>shared_waveform; shared_hardware; shared_resource_allocation</x:v>
      </x:c>
      <x:c r="Z139" s="21" t="str">
        <x:v>OFDM_data_transmission; 16QAM_BI_PS; GMI_NGMI_estimation</x:v>
      </x:c>
      <x:c r="AA139" s="21" t="str">
        <x:v>radar_ranging; range_profile_estimation; sidelobe_suppression; sensing_estimation_rate</x:v>
      </x:c>
      <x:c r="AB139" s="21" t="str">
        <x:v>5</x:v>
      </x:c>
      <x:c r="AC139" s="21" t="str">
        <x:v>analytical; simulation; laboratory_experiment; prototype_testbed</x:v>
      </x:c>
      <x:c r="AD139" s="21" t="str">
        <x:v>6G_access</x:v>
      </x:c>
      <x:c r="AE139" s="21" t="str">
        <x:v>direct</x:v>
      </x:c>
    </x:row>
    <x:row r="140" ht="42" customHeight="1">
      <x:c r="A140" s="21" t="str">
        <x:v>STC-SINGLETON-SCR-00975</x:v>
      </x:c>
      <x:c r="B140" s="21" t="str">
        <x:v>SCR-00975</x:v>
      </x:c>
      <x:c r="C140" s="21" t="str">
        <x:v>OISAC_SCR00975</x:v>
      </x:c>
      <x:c r="D140" s="21" t="str">
        <x:v>OISAC_SCR00975</x:v>
      </x:c>
      <x:c r="E140" s="21" t="str"/>
      <x:c r="F140" s="21" t="str">
        <x:v>OISAC_SCR00975</x:v>
      </x:c>
      <x:c r="G140" s="21" t="str">
        <x:v>\cite{OISAC_SCR00975}</x:v>
      </x:c>
      <x:c r="H140" s="21" t="str">
        <x:v>Lyu et al. (2023)</x:v>
      </x:c>
      <x:c r="I140" s="21" t="str">
        <x:v>Radar-Centric Photonic Terahertz Integrated Sensing and Communication System Based on LFM-PSK Waveform</x:v>
      </x:c>
      <x:c r="J140" s="23" t="str">
        <x:v>2023</x:v>
      </x:c>
      <x:c r="K140" s="21" t="str">
        <x:v>IEEE Transactions on Microwave Theory and Techniques</x:v>
      </x:c>
      <x:c r="L140" s="21" t="str">
        <x:v>10.1109/tmtt.2023.3267546</x:v>
      </x:c>
      <x:c r="M140" s="21" t="str">
        <x:v>RPT-SCR-00975-01</x:v>
      </x:c>
      <x:c r="N140" s="23" t="str">
        <x:v>1</x:v>
      </x:c>
      <x:c r="O140" s="23" t="str">
        <x:v>0</x:v>
      </x:c>
      <x:c r="P140" s="21" t="str">
        <x:v>RPT-SCR-00975-01</x:v>
      </x:c>
      <x:c r="Q140" s="23" t="str">
        <x:v>1</x:v>
      </x:c>
      <x:c r="R140" s="23" t="str">
        <x:v>15</x:v>
      </x:c>
      <x:c r="S140" s="23" t="str">
        <x:v>27</x:v>
      </x:c>
      <x:c r="T140" s="23" t="str">
        <x:v>1</x:v>
      </x:c>
      <x:c r="U140" s="23" t="str">
        <x:v>0</x:v>
      </x:c>
      <x:c r="V140" s="21" t="str"/>
      <x:c r="W140" s="21" t="str">
        <x:v>governed_eligible</x:v>
      </x:c>
      <x:c r="X140" s="21" t="str">
        <x:v>photonic_THz</x:v>
      </x:c>
      <x:c r="Y140" s="21" t="str">
        <x:v>shared_waveform; shared_hardware; joint_design_or_optimization</x:v>
      </x:c>
      <x:c r="Z140" s="21" t="str">
        <x:v>BPSK_data_transmission; phase_demodulation; radar_timeline_information_transport</x:v>
      </x:c>
      <x:c r="AA140" s="21" t="str">
        <x:v>radar_ranging; two_target_resolution; peak_sidelobe_suppression; range_estimation_accuracy; strong_target_masking_mitigation</x:v>
      </x:c>
      <x:c r="AB140" s="21" t="str">
        <x:v>5</x:v>
      </x:c>
      <x:c r="AC140" s="21" t="str">
        <x:v>analytical; simulation; laboratory_experiment; prototype_testbed</x:v>
      </x:c>
      <x:c r="AD140" s="21" t="str">
        <x:v>6G_access; environment_monitoring</x:v>
      </x:c>
      <x:c r="AE140" s="21" t="str">
        <x:v>direct</x:v>
      </x:c>
    </x:row>
    <x:row r="141" ht="42" customHeight="1">
      <x:c r="A141" s="21" t="str">
        <x:v>STC-SINGLETON-SCR-00977</x:v>
      </x:c>
      <x:c r="B141" s="21" t="str">
        <x:v>SCR-00977</x:v>
      </x:c>
      <x:c r="C141" s="21" t="str">
        <x:v>OISAC_SCR00977</x:v>
      </x:c>
      <x:c r="D141" s="21" t="str">
        <x:v>OISAC_SCR00977</x:v>
      </x:c>
      <x:c r="E141" s="21" t="str"/>
      <x:c r="F141" s="21" t="str">
        <x:v>OISAC_SCR00977</x:v>
      </x:c>
      <x:c r="G141" s="21" t="str">
        <x:v>\cite{OISAC_SCR00977}</x:v>
      </x:c>
      <x:c r="H141" s="21" t="str">
        <x:v>Zhong et al. (2026)</x:v>
      </x:c>
      <x:c r="I141" s="21" t="str">
        <x:v>Photonics Terahertz Dual-Band Anti-Jamming Integrated Sensing and Communication System Empowered by Permutation Frequency Hopping</x:v>
      </x:c>
      <x:c r="J141" s="23" t="str">
        <x:v>2026</x:v>
      </x:c>
      <x:c r="K141" s="21" t="str">
        <x:v>Journal of Lightwave Technology</x:v>
      </x:c>
      <x:c r="L141" s="21" t="str">
        <x:v>10.1109/jlt.2026.3651745</x:v>
      </x:c>
      <x:c r="M141" s="21" t="str">
        <x:v>RPT-SCR-00977-01</x:v>
      </x:c>
      <x:c r="N141" s="23" t="str">
        <x:v>1</x:v>
      </x:c>
      <x:c r="O141" s="23" t="str">
        <x:v>0</x:v>
      </x:c>
      <x:c r="P141" s="21" t="str">
        <x:v>RPT-SCR-00977-01</x:v>
      </x:c>
      <x:c r="Q141" s="23" t="str">
        <x:v>1</x:v>
      </x:c>
      <x:c r="R141" s="23" t="str">
        <x:v>12</x:v>
      </x:c>
      <x:c r="S141" s="23" t="str">
        <x:v>21</x:v>
      </x:c>
      <x:c r="T141" s="23" t="str">
        <x:v>2</x:v>
      </x:c>
      <x:c r="U141" s="23" t="str">
        <x:v>0</x:v>
      </x:c>
      <x:c r="V141" s="21" t="str"/>
      <x:c r="W141" s="21" t="str">
        <x:v>governed_eligible</x:v>
      </x:c>
      <x:c r="X141" s="21" t="str">
        <x:v>photonic_THz</x:v>
      </x:c>
      <x:c r="Y141" s="21" t="str">
        <x:v>shared_resource_allocation; joint_design_or_optimization</x:v>
      </x:c>
      <x:c r="Z141" s="21" t="str">
        <x:v>D_band_wireless_data_link; anti_jamming_communication</x:v>
      </x:c>
      <x:c r="AA141" s="21" t="str">
        <x:v>single_and_dual_target_ranging; jamming_type_identification; ISAR_imaging</x:v>
      </x:c>
      <x:c r="AB141" s="21" t="str">
        <x:v>4</x:v>
      </x:c>
      <x:c r="AC141" s="21" t="str">
        <x:v>analytical; simulation; laboratory_experiment</x:v>
      </x:c>
      <x:c r="AD141" s="21" t="str">
        <x:v>6G_access</x:v>
      </x:c>
      <x:c r="AE141" s="21" t="str">
        <x:v>direct</x:v>
      </x:c>
    </x:row>
    <x:row r="142" ht="42" customHeight="1">
      <x:c r="A142" s="21" t="str">
        <x:v>STC-SINGLETON-SCR-00979</x:v>
      </x:c>
      <x:c r="B142" s="21" t="str">
        <x:v>SCR-00979</x:v>
      </x:c>
      <x:c r="C142" s="21" t="str">
        <x:v>OISAC_SCR00979</x:v>
      </x:c>
      <x:c r="D142" s="21" t="str">
        <x:v>OISAC_SCR00979</x:v>
      </x:c>
      <x:c r="E142" s="21" t="str"/>
      <x:c r="F142" s="21" t="str">
        <x:v>OISAC_SCR00979</x:v>
      </x:c>
      <x:c r="G142" s="21" t="str">
        <x:v>\cite{OISAC_SCR00979}</x:v>
      </x:c>
      <x:c r="H142" s="21" t="str">
        <x:v>Migla et al. (2026)</x:v>
      </x:c>
      <x:c r="I142" s="21" t="str">
        <x:v>Demonstration of Integrated Sensing and Communications in an ARoF-Based Radar System Utilizing Pulse Position Modulation</x:v>
      </x:c>
      <x:c r="J142" s="23" t="str">
        <x:v>2026</x:v>
      </x:c>
      <x:c r="K142" s="21" t="str">
        <x:v>IEEE Access</x:v>
      </x:c>
      <x:c r="L142" s="21" t="str">
        <x:v>10.1109/access.2026.3693952</x:v>
      </x:c>
      <x:c r="M142" s="21" t="str">
        <x:v>RPT-SCR-00979-01</x:v>
      </x:c>
      <x:c r="N142" s="23" t="str">
        <x:v>1</x:v>
      </x:c>
      <x:c r="O142" s="23" t="str">
        <x:v>0</x:v>
      </x:c>
      <x:c r="P142" s="21" t="str">
        <x:v>RPT-SCR-00979-01</x:v>
      </x:c>
      <x:c r="Q142" s="23" t="str">
        <x:v>1</x:v>
      </x:c>
      <x:c r="R142" s="23" t="str">
        <x:v>13</x:v>
      </x:c>
      <x:c r="S142" s="23" t="str">
        <x:v>24</x:v>
      </x:c>
      <x:c r="T142" s="23" t="str">
        <x:v>2</x:v>
      </x:c>
      <x:c r="U142" s="23" t="str">
        <x:v>0</x:v>
      </x:c>
      <x:c r="V142" s="21" t="str"/>
      <x:c r="W142" s="21" t="str">
        <x:v>governed_eligible</x:v>
      </x:c>
      <x:c r="X142" s="21" t="str">
        <x:v>photonic_THz</x:v>
      </x:c>
      <x:c r="Y142" s="21" t="str">
        <x:v>shared_waveform</x:v>
      </x:c>
      <x:c r="Z142" s="21" t="str">
        <x:v>PPM_data_transmission_over_ARoF</x:v>
      </x:c>
      <x:c r="AA142" s="21" t="str">
        <x:v>single_target_absolute_ranging; vehicle_range_tracking; velocity_estimation</x:v>
      </x:c>
      <x:c r="AB142" s="21" t="str">
        <x:v>6</x:v>
      </x:c>
      <x:c r="AC142" s="21" t="str">
        <x:v>analytical; laboratory_experiment; field_experiment</x:v>
      </x:c>
      <x:c r="AD142" s="21" t="str">
        <x:v>6G_access; vehicular</x:v>
      </x:c>
      <x:c r="AE142" s="21" t="str">
        <x:v>direct</x:v>
      </x:c>
    </x:row>
    <x:row r="143" ht="42" customHeight="1">
      <x:c r="A143" s="21" t="str">
        <x:v>STC-SINGLETON-SCR-00980</x:v>
      </x:c>
      <x:c r="B143" s="21" t="str">
        <x:v>SCR-00980</x:v>
      </x:c>
      <x:c r="C143" s="21" t="str">
        <x:v>OISAC_SCR00980</x:v>
      </x:c>
      <x:c r="D143" s="21" t="str">
        <x:v>OISAC_SCR00980</x:v>
      </x:c>
      <x:c r="E143" s="21" t="str"/>
      <x:c r="F143" s="21" t="str">
        <x:v>OISAC_SCR00980</x:v>
      </x:c>
      <x:c r="G143" s="21" t="str">
        <x:v>\cite{OISAC_SCR00980}</x:v>
      </x:c>
      <x:c r="H143" s="21" t="str">
        <x:v>Wen et al. (2025)</x:v>
      </x:c>
      <x:c r="I143" s="21" t="str">
        <x:v>Interference Cancellation for Optical Wireless ISAC Based on Optical Phased Array</x:v>
      </x:c>
      <x:c r="J143" s="23" t="str">
        <x:v>2025</x:v>
      </x:c>
      <x:c r="K143" s="21" t="str">
        <x:v>GLOBECOM 2025 - 2025 IEEE Global Communications Conference</x:v>
      </x:c>
      <x:c r="L143" s="21" t="str">
        <x:v>10.1109/globecom59602.2025.11432561</x:v>
      </x:c>
      <x:c r="M143" s="21" t="str">
        <x:v>RPT-SCR-00980-01</x:v>
      </x:c>
      <x:c r="N143" s="23" t="str">
        <x:v>1</x:v>
      </x:c>
      <x:c r="O143" s="23" t="str">
        <x:v>0</x:v>
      </x:c>
      <x:c r="P143" s="21" t="str">
        <x:v>RPT-SCR-00980-01</x:v>
      </x:c>
      <x:c r="Q143" s="23" t="str">
        <x:v>1</x:v>
      </x:c>
      <x:c r="R143" s="23" t="str">
        <x:v>12</x:v>
      </x:c>
      <x:c r="S143" s="23" t="str">
        <x:v>15</x:v>
      </x:c>
      <x:c r="T143" s="23" t="str">
        <x:v>1</x:v>
      </x:c>
      <x:c r="U143" s="23" t="str">
        <x:v>0</x:v>
      </x:c>
      <x:c r="V143" s="21" t="str"/>
      <x:c r="W143" s="21" t="str">
        <x:v>governed_eligible</x:v>
      </x:c>
      <x:c r="X143" s="21" t="str">
        <x:v>FSO</x:v>
      </x:c>
      <x:c r="Y143" s="21" t="str">
        <x:v>shared_waveform; joint_design_or_optimization</x:v>
      </x:c>
      <x:c r="Z143" s="21" t="str">
        <x:v>single_user_optical_wireless_link</x:v>
      </x:c>
      <x:c r="AA143" s="21" t="str">
        <x:v>extended_target_angle_range_profile_estimation</x:v>
      </x:c>
      <x:c r="AB143" s="21" t="str">
        <x:v>2</x:v>
      </x:c>
      <x:c r="AC143" s="21" t="str">
        <x:v>analytical; simulation</x:v>
      </x:c>
      <x:c r="AD143" s="21" t="str">
        <x:v>6G_access</x:v>
      </x:c>
      <x:c r="AE143" s="21" t="str">
        <x:v>direct</x:v>
      </x:c>
    </x:row>
    <x:row r="144" ht="42" customHeight="1">
      <x:c r="A144" s="21" t="str">
        <x:v>STC-SINGLETON-SCR-00983</x:v>
      </x:c>
      <x:c r="B144" s="21" t="str">
        <x:v>SCR-00983</x:v>
      </x:c>
      <x:c r="C144" s="21" t="str">
        <x:v>OISAC_SCR00983</x:v>
      </x:c>
      <x:c r="D144" s="21" t="str">
        <x:v>OISAC_SCR00983</x:v>
      </x:c>
      <x:c r="E144" s="21" t="str"/>
      <x:c r="F144" s="21" t="str">
        <x:v>OISAC_SCR00983</x:v>
      </x:c>
      <x:c r="G144" s="21" t="str">
        <x:v>\cite{OISAC_SCR00983}</x:v>
      </x:c>
      <x:c r="H144" s="21" t="str">
        <x:v>Lei et al. (2022)</x:v>
      </x:c>
      <x:c r="I144" s="21" t="str">
        <x:v>A Spectrum-Efficient MoF Architecture for Joint Sensing and Communication in B5G Based on Polarization Interleaving and Polarization-Insensitive Filtering</x:v>
      </x:c>
      <x:c r="J144" s="23" t="str">
        <x:v>2022</x:v>
      </x:c>
      <x:c r="K144" s="21" t="str">
        <x:v>Journal of Lightwave Technology</x:v>
      </x:c>
      <x:c r="L144" s="21" t="str">
        <x:v>10.1109/jlt.2022.3181608</x:v>
      </x:c>
      <x:c r="M144" s="21" t="str">
        <x:v>RPT-SCR-00983-01</x:v>
      </x:c>
      <x:c r="N144" s="23" t="str">
        <x:v>1</x:v>
      </x:c>
      <x:c r="O144" s="23" t="str">
        <x:v>0</x:v>
      </x:c>
      <x:c r="P144" s="21" t="str">
        <x:v>RPT-SCR-00983-01</x:v>
      </x:c>
      <x:c r="Q144" s="23" t="str">
        <x:v>1</x:v>
      </x:c>
      <x:c r="R144" s="23" t="str">
        <x:v>15</x:v>
      </x:c>
      <x:c r="S144" s="23" t="str">
        <x:v>34</x:v>
      </x:c>
      <x:c r="T144" s="23" t="str">
        <x:v>4</x:v>
      </x:c>
      <x:c r="U144" s="23" t="str">
        <x:v>0</x:v>
      </x:c>
      <x:c r="V144" s="21" t="str"/>
      <x:c r="W144" s="21" t="str">
        <x:v>governed_eligible</x:v>
      </x:c>
      <x:c r="X144" s="21" t="str">
        <x:v>fiber</x:v>
      </x:c>
      <x:c r="Y144" s="21" t="str">
        <x:v>shared_hardware; shared_resource_allocation</x:v>
      </x:c>
      <x:c r="Z144" s="21" t="str">
        <x:v>23_Gbit_s_16QAM_downlink; wireless_user_access; EVM_evaluation; FOE_free_reception</x:v>
      </x:c>
      <x:c r="AA144" s="21" t="str">
        <x:v>single_target_ranging_accuracy; dual_target_detection; range_resolution; user_position_estimation</x:v>
      </x:c>
      <x:c r="AB144" s="21" t="str">
        <x:v>4</x:v>
      </x:c>
      <x:c r="AC144" s="21" t="str">
        <x:v>analytical; laboratory_experiment; prototype_testbed</x:v>
      </x:c>
      <x:c r="AD144" s="21" t="str">
        <x:v>indoor_positioning</x:v>
      </x:c>
      <x:c r="AE144" s="21" t="str">
        <x:v>inferred</x:v>
      </x:c>
    </x:row>
    <x:row r="145" ht="42" customHeight="1">
      <x:c r="A145" s="21" t="str">
        <x:v>STC-SINGLETON-SCR-00985</x:v>
      </x:c>
      <x:c r="B145" s="21" t="str">
        <x:v>SCR-00985</x:v>
      </x:c>
      <x:c r="C145" s="21" t="str">
        <x:v>OISAC_SCR00985</x:v>
      </x:c>
      <x:c r="D145" s="21" t="str">
        <x:v>OISAC_SCR00985</x:v>
      </x:c>
      <x:c r="E145" s="21" t="str"/>
      <x:c r="F145" s="21" t="str">
        <x:v>OISAC_SCR00985</x:v>
      </x:c>
      <x:c r="G145" s="21" t="str">
        <x:v>\cite{OISAC_SCR00985}</x:v>
      </x:c>
      <x:c r="H145" s="21" t="str">
        <x:v>Dong et al. (2024)</x:v>
      </x:c>
      <x:c r="I145" s="21" t="str">
        <x:v>Photonic-Based Flexible Integrated Sensing and Communication With Multiple Targets Detection Capability for W-Band Fiber-Wireless Network</x:v>
      </x:c>
      <x:c r="J145" s="23" t="str">
        <x:v>2024</x:v>
      </x:c>
      <x:c r="K145" s="21" t="str">
        <x:v>IEEE Transactions on Microwave Theory and Techniques</x:v>
      </x:c>
      <x:c r="L145" s="21" t="str">
        <x:v>10.1109/tmtt.2024.3355936</x:v>
      </x:c>
      <x:c r="M145" s="21" t="str">
        <x:v>RPT-SCR-00985-01</x:v>
      </x:c>
      <x:c r="N145" s="23" t="str">
        <x:v>1</x:v>
      </x:c>
      <x:c r="O145" s="23" t="str">
        <x:v>0</x:v>
      </x:c>
      <x:c r="P145" s="21" t="str">
        <x:v>RPT-SCR-00985-01</x:v>
      </x:c>
      <x:c r="Q145" s="23" t="str">
        <x:v>1</x:v>
      </x:c>
      <x:c r="R145" s="23" t="str">
        <x:v>18</x:v>
      </x:c>
      <x:c r="S145" s="23" t="str">
        <x:v>46</x:v>
      </x:c>
      <x:c r="T145" s="23" t="str">
        <x:v>5</x:v>
      </x:c>
      <x:c r="U145" s="23" t="str">
        <x:v>0</x:v>
      </x:c>
      <x:c r="V145" s="21" t="str"/>
      <x:c r="W145" s="21" t="str">
        <x:v>governed_eligible</x:v>
      </x:c>
      <x:c r="X145" s="21" t="str">
        <x:v>photonic_THz</x:v>
      </x:c>
      <x:c r="Y145" s="21" t="str">
        <x:v>shared_waveform; shared_link_or_channel; shared_resource_allocation</x:v>
      </x:c>
      <x:c r="Z145" s="21" t="str">
        <x:v>15_to_60_Gbit_s_32QAM_SCM_access; 1_m_W_band_wireless_link; BER_evaluation; fiber_wireless_downlink</x:v>
      </x:c>
      <x:c r="AA145" s="21" t="str">
        <x:v>single_target_ranging; multiple_target_ranging; range_resolution; distance_error; angular_scanning_imaging; false_target_suppression</x:v>
      </x:c>
      <x:c r="AB145" s="21" t="str">
        <x:v>4</x:v>
      </x:c>
      <x:c r="AC145" s="21" t="str">
        <x:v>analytical; simulation; laboratory_experiment; prototype_testbed</x:v>
      </x:c>
      <x:c r="AD145" s="21" t="str">
        <x:v>6G_access</x:v>
      </x:c>
      <x:c r="AE145" s="21" t="str">
        <x:v>direct</x:v>
      </x:c>
    </x:row>
    <x:row r="146" ht="42" customHeight="1">
      <x:c r="A146" s="21" t="str">
        <x:v>STC-SINGLETON-SCR-00986</x:v>
      </x:c>
      <x:c r="B146" s="21" t="str">
        <x:v>SCR-00986</x:v>
      </x:c>
      <x:c r="C146" s="21" t="str">
        <x:v>OISAC_SCR00986</x:v>
      </x:c>
      <x:c r="D146" s="21" t="str">
        <x:v>OISAC_SCR00986</x:v>
      </x:c>
      <x:c r="E146" s="21" t="str"/>
      <x:c r="F146" s="21" t="str">
        <x:v>OISAC_SCR00986</x:v>
      </x:c>
      <x:c r="G146" s="21" t="str">
        <x:v>\cite{OISAC_SCR00986}</x:v>
      </x:c>
      <x:c r="H146" s="21" t="str">
        <x:v>Dong et al. (2025)</x:v>
      </x:c>
      <x:c r="I146" s="21" t="str">
        <x:v>THz Integrated Sensing and Communication With Full-Photonic Direct LFM Reception and De-Chirping for D-Band Fiber-Wireless Network</x:v>
      </x:c>
      <x:c r="J146" s="23" t="str">
        <x:v>2025</x:v>
      </x:c>
      <x:c r="K146" s="21" t="str">
        <x:v>IEEE Transactions on Microwave Theory and Techniques</x:v>
      </x:c>
      <x:c r="L146" s="21" t="str">
        <x:v>10.1109/tmtt.2025.3549729</x:v>
      </x:c>
      <x:c r="M146" s="21" t="str">
        <x:v>RPT-SCR-00986-01</x:v>
      </x:c>
      <x:c r="N146" s="23" t="str">
        <x:v>1</x:v>
      </x:c>
      <x:c r="O146" s="23" t="str">
        <x:v>0</x:v>
      </x:c>
      <x:c r="P146" s="21" t="str">
        <x:v>RPT-SCR-00986-01</x:v>
      </x:c>
      <x:c r="Q146" s="23" t="str">
        <x:v>1</x:v>
      </x:c>
      <x:c r="R146" s="23" t="str">
        <x:v>18</x:v>
      </x:c>
      <x:c r="S146" s="23" t="str">
        <x:v>45</x:v>
      </x:c>
      <x:c r="T146" s="23" t="str">
        <x:v>5</x:v>
      </x:c>
      <x:c r="U146" s="23" t="str">
        <x:v>0</x:v>
      </x:c>
      <x:c r="V146" s="21" t="str"/>
      <x:c r="W146" s="21" t="str">
        <x:v>governed_eligible</x:v>
      </x:c>
      <x:c r="X146" s="21" t="str">
        <x:v>photonic_THz</x:v>
      </x:c>
      <x:c r="Y146" s="21" t="str">
        <x:v>shared_link_or_channel; shared_resource_allocation</x:v>
      </x:c>
      <x:c r="Z146" s="21" t="str">
        <x:v>16QAM_D_band_access; 29_GBaud_gross_116_Gbit_s; author_calculated_108_4_Gbit_s_net; BER_evaluation; 1_m_wireless_link</x:v>
      </x:c>
      <x:c r="AA146" s="21" t="str">
        <x:v>stationary_target_ranging; range_resolution; ranging_accuracy; multiple_target_false_return_suppression</x:v>
      </x:c>
      <x:c r="AB146" s="21" t="str">
        <x:v>4</x:v>
      </x:c>
      <x:c r="AC146" s="21" t="str">
        <x:v>analytical; simulation; laboratory_experiment; prototype_testbed</x:v>
      </x:c>
      <x:c r="AD146" s="21" t="str">
        <x:v>6G_access</x:v>
      </x:c>
      <x:c r="AE146" s="21" t="str">
        <x:v>direct</x:v>
      </x:c>
    </x:row>
    <x:row r="147" ht="42" customHeight="1">
      <x:c r="A147" s="21" t="str">
        <x:v>STC-SINGLETON-SCR-00990</x:v>
      </x:c>
      <x:c r="B147" s="21" t="str">
        <x:v>SCR-00990</x:v>
      </x:c>
      <x:c r="C147" s="21" t="str">
        <x:v>OISAC_SCR00990</x:v>
      </x:c>
      <x:c r="D147" s="21" t="str">
        <x:v>OISAC_SCR00990</x:v>
      </x:c>
      <x:c r="E147" s="21" t="str"/>
      <x:c r="F147" s="21" t="str">
        <x:v>OISAC_SCR00990</x:v>
      </x:c>
      <x:c r="G147" s="21" t="str">
        <x:v>\cite{OISAC_SCR00990}</x:v>
      </x:c>
      <x:c r="H147" s="21" t="str">
        <x:v>Lyu et al. (2024)</x:v>
      </x:c>
      <x:c r="I147" s="21" t="str">
        <x:v>Preamble-Free Synchronization Based on Dual-chirp Waveforms for Photonic THz-ISAC</x:v>
      </x:c>
      <x:c r="J147" s="23" t="str">
        <x:v>2024</x:v>
      </x:c>
      <x:c r="K147" s="21" t="str">
        <x:v>Journal of Lightwave Technology</x:v>
      </x:c>
      <x:c r="L147" s="21" t="str">
        <x:v>10.1109/jlt.2023.3344788</x:v>
      </x:c>
      <x:c r="M147" s="21" t="str">
        <x:v>RPT-SCR-00990-01</x:v>
      </x:c>
      <x:c r="N147" s="23" t="str">
        <x:v>1</x:v>
      </x:c>
      <x:c r="O147" s="23" t="str">
        <x:v>0</x:v>
      </x:c>
      <x:c r="P147" s="21" t="str">
        <x:v>RPT-SCR-00990-01</x:v>
      </x:c>
      <x:c r="Q147" s="23" t="str">
        <x:v>1</x:v>
      </x:c>
      <x:c r="R147" s="23" t="str">
        <x:v>15</x:v>
      </x:c>
      <x:c r="S147" s="23" t="str">
        <x:v>24</x:v>
      </x:c>
      <x:c r="T147" s="23" t="str">
        <x:v>2</x:v>
      </x:c>
      <x:c r="U147" s="23" t="str">
        <x:v>0</x:v>
      </x:c>
      <x:c r="V147" s="21" t="str"/>
      <x:c r="W147" s="21" t="str">
        <x:v>governed_eligible</x:v>
      </x:c>
      <x:c r="X147" s="21" t="str">
        <x:v>photonic_THz</x:v>
      </x:c>
      <x:c r="Y147" s="21" t="str">
        <x:v>shared_waveform</x:v>
      </x:c>
      <x:c r="Z147" s="21" t="str">
        <x:v>20_Gbps_QPSK_transmission; preamble_free_frame_synchronization; carrier_recovery; equalization</x:v>
      </x:c>
      <x:c r="AA147" s="21" t="str">
        <x:v>one_dimensional_range_profiling; two_target_range_separation</x:v>
      </x:c>
      <x:c r="AB147" s="21" t="str">
        <x:v>5</x:v>
      </x:c>
      <x:c r="AC147" s="21" t="str">
        <x:v>analytical; simulation; laboratory_experiment; prototype_testbed</x:v>
      </x:c>
      <x:c r="AD147" s="21" t="str">
        <x:v>6G_access</x:v>
      </x:c>
      <x:c r="AE147" s="21" t="str">
        <x:v>direct</x:v>
      </x:c>
    </x:row>
    <x:row r="148" ht="42" customHeight="1">
      <x:c r="A148" s="21" t="str">
        <x:v>STC-SINGLETON-SCR-00992</x:v>
      </x:c>
      <x:c r="B148" s="21" t="str">
        <x:v>SCR-00992</x:v>
      </x:c>
      <x:c r="C148" s="21" t="str">
        <x:v>OISAC_SCR00992</x:v>
      </x:c>
      <x:c r="D148" s="21" t="str">
        <x:v>OISAC_SCR00992</x:v>
      </x:c>
      <x:c r="E148" s="21" t="str"/>
      <x:c r="F148" s="21" t="str">
        <x:v>OISAC_SCR00992</x:v>
      </x:c>
      <x:c r="G148" s="21" t="str">
        <x:v>\cite{OISAC_SCR00992}</x:v>
      </x:c>
      <x:c r="H148" s="21" t="str">
        <x:v>Ye et al. (2026)</x:v>
      </x:c>
      <x:c r="I148" s="21" t="str">
        <x:v>Photonic Frequency-Hopped THz ISAC-Enabled by Electro-Optically Tunable Laser</x:v>
      </x:c>
      <x:c r="J148" s="23" t="str">
        <x:v>2026</x:v>
      </x:c>
      <x:c r="K148" s="21" t="str">
        <x:v>IEEE Photonics Technology Letters</x:v>
      </x:c>
      <x:c r="L148" s="21" t="str">
        <x:v>10.1109/lpt.2026.3681462</x:v>
      </x:c>
      <x:c r="M148" s="21" t="str">
        <x:v>RPT-SCR-00992-01</x:v>
      </x:c>
      <x:c r="N148" s="23" t="str">
        <x:v>1</x:v>
      </x:c>
      <x:c r="O148" s="23" t="str">
        <x:v>0</x:v>
      </x:c>
      <x:c r="P148" s="21" t="str">
        <x:v>RPT-SCR-00992-01</x:v>
      </x:c>
      <x:c r="Q148" s="23" t="str">
        <x:v>1</x:v>
      </x:c>
      <x:c r="R148" s="23" t="str">
        <x:v>13</x:v>
      </x:c>
      <x:c r="S148" s="23" t="str">
        <x:v>20</x:v>
      </x:c>
      <x:c r="T148" s="23" t="str">
        <x:v>0</x:v>
      </x:c>
      <x:c r="U148" s="23" t="str">
        <x:v>0</x:v>
      </x:c>
      <x:c r="V148" s="21" t="str"/>
      <x:c r="W148" s="21" t="str">
        <x:v>governed_eligible</x:v>
      </x:c>
      <x:c r="X148" s="21" t="str">
        <x:v>photonic_THz</x:v>
      </x:c>
      <x:c r="Y148" s="21" t="str">
        <x:v>shared_hardware</x:v>
      </x:c>
      <x:c r="Z148" s="21" t="str">
        <x:v>OOK_data_transmission; frequency_hopping_anti_interference; physical_layer_anti_jamming; direct_detection</x:v>
      </x:c>
      <x:c r="AA148" s="21" t="str">
        <x:v>single_target_distance_ranging</x:v>
      </x:c>
      <x:c r="AB148" s="21" t="str">
        <x:v>5</x:v>
      </x:c>
      <x:c r="AC148" s="21" t="str">
        <x:v>analytical; laboratory_experiment; prototype_testbed</x:v>
      </x:c>
      <x:c r="AD148" s="21" t="str">
        <x:v>6G_access; security</x:v>
      </x:c>
      <x:c r="AE148" s="21" t="str">
        <x:v>direct</x:v>
      </x:c>
    </x:row>
    <x:row r="149" ht="42" customHeight="1">
      <x:c r="A149" s="21" t="str">
        <x:v>STC-SINGLETON-SCR-00994</x:v>
      </x:c>
      <x:c r="B149" s="21" t="str">
        <x:v>SCR-00994</x:v>
      </x:c>
      <x:c r="C149" s="21" t="str">
        <x:v>OISAC_SCR00994</x:v>
      </x:c>
      <x:c r="D149" s="21" t="str">
        <x:v>OISAC_SCR00994</x:v>
      </x:c>
      <x:c r="E149" s="21" t="str"/>
      <x:c r="F149" s="21" t="str">
        <x:v>OISAC_SCR00994</x:v>
      </x:c>
      <x:c r="G149" s="21" t="str">
        <x:v>\cite{OISAC_SCR00994}</x:v>
      </x:c>
      <x:c r="H149" s="21" t="str">
        <x:v>He et al. (2026)</x:v>
      </x:c>
      <x:c r="I149" s="21" t="str">
        <x:v>A Cross-Correlation MUSIC Scheme Based on OFDM for Photonics-Aided W-Band ISAC Systems</x:v>
      </x:c>
      <x:c r="J149" s="23" t="str">
        <x:v>2026</x:v>
      </x:c>
      <x:c r="K149" s="21" t="str">
        <x:v>IEEE Photonics Technology Letters</x:v>
      </x:c>
      <x:c r="L149" s="21" t="str">
        <x:v>10.1109/lpt.2026.3651116</x:v>
      </x:c>
      <x:c r="M149" s="21" t="str">
        <x:v>RPT-SCR-00994-01</x:v>
      </x:c>
      <x:c r="N149" s="23" t="str">
        <x:v>1</x:v>
      </x:c>
      <x:c r="O149" s="23" t="str">
        <x:v>0</x:v>
      </x:c>
      <x:c r="P149" s="21" t="str">
        <x:v>RPT-SCR-00994-01</x:v>
      </x:c>
      <x:c r="Q149" s="23" t="str">
        <x:v>1</x:v>
      </x:c>
      <x:c r="R149" s="23" t="str">
        <x:v>12</x:v>
      </x:c>
      <x:c r="S149" s="23" t="str">
        <x:v>20</x:v>
      </x:c>
      <x:c r="T149" s="23" t="str">
        <x:v>1</x:v>
      </x:c>
      <x:c r="U149" s="23" t="str">
        <x:v>0</x:v>
      </x:c>
      <x:c r="V149" s="21" t="str"/>
      <x:c r="W149" s="21" t="str">
        <x:v>governed_eligible</x:v>
      </x:c>
      <x:c r="X149" s="21" t="str">
        <x:v>photonic_THz</x:v>
      </x:c>
      <x:c r="Y149" s="21" t="str">
        <x:v>shared_link_or_channel; shared_resource_allocation</x:v>
      </x:c>
      <x:c r="Z149" s="21" t="str">
        <x:v>3.03_Gbit_s_W_band_data_link</x:v>
      </x:c>
      <x:c r="AA149" s="21" t="str">
        <x:v>single_target_ranging; multi_target_range_separation</x:v>
      </x:c>
      <x:c r="AB149" s="21" t="str">
        <x:v>4</x:v>
      </x:c>
      <x:c r="AC149" s="21" t="str">
        <x:v>analytical; laboratory_experiment</x:v>
      </x:c>
      <x:c r="AD149" s="21" t="str">
        <x:v>6G_access</x:v>
      </x:c>
      <x:c r="AE149" s="21" t="str">
        <x:v>direct</x:v>
      </x:c>
    </x:row>
    <x:row r="150" ht="42" customHeight="1">
      <x:c r="A150" s="21" t="str">
        <x:v>STC-SINGLETON-SCR-00996</x:v>
      </x:c>
      <x:c r="B150" s="21" t="str">
        <x:v>SCR-00996</x:v>
      </x:c>
      <x:c r="C150" s="21" t="str">
        <x:v>OISAC_SCR00996</x:v>
      </x:c>
      <x:c r="D150" s="21" t="str">
        <x:v>OISAC_SCR00996</x:v>
      </x:c>
      <x:c r="E150" s="21" t="str"/>
      <x:c r="F150" s="21" t="str">
        <x:v>OISAC_SCR00996</x:v>
      </x:c>
      <x:c r="G150" s="21" t="str">
        <x:v>\cite{OISAC_SCR00996}</x:v>
      </x:c>
      <x:c r="H150" s="21" t="str">
        <x:v>Gao et al. (2025)</x:v>
      </x:c>
      <x:c r="I150" s="21" t="str">
        <x:v>Microwave Photonic Integrated Sensing and Communication Based on Polarization Multiplexing and Frequency-to-Time Mapping</x:v>
      </x:c>
      <x:c r="J150" s="23" t="str">
        <x:v>2025</x:v>
      </x:c>
      <x:c r="K150" s="21" t="str">
        <x:v>IEEE Internet of Things Journal</x:v>
      </x:c>
      <x:c r="L150" s="21" t="str">
        <x:v>10.1109/jiot.2025.3542099</x:v>
      </x:c>
      <x:c r="M150" s="21" t="str">
        <x:v>RPT-SCR-00996-01</x:v>
      </x:c>
      <x:c r="N150" s="23" t="str">
        <x:v>1</x:v>
      </x:c>
      <x:c r="O150" s="23" t="str">
        <x:v>0</x:v>
      </x:c>
      <x:c r="P150" s="21" t="str">
        <x:v>RPT-SCR-00996-01</x:v>
      </x:c>
      <x:c r="Q150" s="23" t="str">
        <x:v>1</x:v>
      </x:c>
      <x:c r="R150" s="23" t="str">
        <x:v>13</x:v>
      </x:c>
      <x:c r="S150" s="23" t="str">
        <x:v>29</x:v>
      </x:c>
      <x:c r="T150" s="23" t="str">
        <x:v>4</x:v>
      </x:c>
      <x:c r="U150" s="23" t="str">
        <x:v>0</x:v>
      </x:c>
      <x:c r="V150" s="21" t="str"/>
      <x:c r="W150" s="21" t="str">
        <x:v>governed_eligible</x:v>
      </x:c>
      <x:c r="X150" s="21" t="str">
        <x:v>photonic_THz</x:v>
      </x:c>
      <x:c r="Y150" s="21" t="str">
        <x:v>shared_resource_allocation</x:v>
      </x:c>
      <x:c r="Z150" s="21" t="str">
        <x:v>1_and_2_Gbit_s_wireless_ASK_data</x:v>
      </x:c>
      <x:c r="AA150" s="21" t="str">
        <x:v>radar_ranging; ISAR_imaging; transverse_load_sensing; microwave_frequency_measurement</x:v>
      </x:c>
      <x:c r="AB150" s="21" t="str">
        <x:v>4</x:v>
      </x:c>
      <x:c r="AC150" s="21" t="str">
        <x:v>analytical; laboratory_experiment</x:v>
      </x:c>
      <x:c r="AD150" s="21" t="str">
        <x:v>6G_access; smart_infrastructure</x:v>
      </x:c>
      <x:c r="AE150" s="21" t="str">
        <x:v>direct</x:v>
      </x:c>
    </x:row>
    <x:row r="151" ht="42" customHeight="1">
      <x:c r="A151" s="21" t="str">
        <x:v>STC-SINGLETON-SCR-00998</x:v>
      </x:c>
      <x:c r="B151" s="21" t="str">
        <x:v>SCR-00998</x:v>
      </x:c>
      <x:c r="C151" s="21" t="str">
        <x:v>OISAC_SCR00998</x:v>
      </x:c>
      <x:c r="D151" s="21" t="str">
        <x:v>OISAC_SCR00998</x:v>
      </x:c>
      <x:c r="E151" s="21" t="str"/>
      <x:c r="F151" s="21" t="str">
        <x:v>OISAC_SCR00998</x:v>
      </x:c>
      <x:c r="G151" s="21" t="str">
        <x:v>\cite{OISAC_SCR00998}</x:v>
      </x:c>
      <x:c r="H151" s="21" t="str">
        <x:v>He et al. (2026)</x:v>
      </x:c>
      <x:c r="I151" s="21" t="str">
        <x:v>An Orthogonal Time Frequency Space Waveform With W-MUSIC Scheme for Photonic-Aided ISAC System</x:v>
      </x:c>
      <x:c r="J151" s="23" t="str">
        <x:v>2026</x:v>
      </x:c>
      <x:c r="K151" s="21" t="str">
        <x:v>IEEE Photonics Technology Letters</x:v>
      </x:c>
      <x:c r="L151" s="21" t="str">
        <x:v>10.1109/lpt.2026.3681817</x:v>
      </x:c>
      <x:c r="M151" s="21" t="str">
        <x:v>RPT-SCR-00998-01</x:v>
      </x:c>
      <x:c r="N151" s="23" t="str">
        <x:v>1</x:v>
      </x:c>
      <x:c r="O151" s="23" t="str">
        <x:v>0</x:v>
      </x:c>
      <x:c r="P151" s="21" t="str">
        <x:v>RPT-SCR-00998-01</x:v>
      </x:c>
      <x:c r="Q151" s="23" t="str">
        <x:v>1</x:v>
      </x:c>
      <x:c r="R151" s="23" t="str">
        <x:v>12</x:v>
      </x:c>
      <x:c r="S151" s="23" t="str">
        <x:v>30</x:v>
      </x:c>
      <x:c r="T151" s="23" t="str">
        <x:v>1</x:v>
      </x:c>
      <x:c r="U151" s="23" t="str">
        <x:v>0</x:v>
      </x:c>
      <x:c r="V151" s="21" t="str"/>
      <x:c r="W151" s="21" t="str">
        <x:v>governed_eligible</x:v>
      </x:c>
      <x:c r="X151" s="21" t="str">
        <x:v>photonic_THz</x:v>
      </x:c>
      <x:c r="Y151" s="21" t="str">
        <x:v>shared_link_or_channel</x:v>
      </x:c>
      <x:c r="Z151" s="21" t="str">
        <x:v>5.44_Gbit_s_W_band_data_link</x:v>
      </x:c>
      <x:c r="AA151" s="21" t="str">
        <x:v>single_target_ranging</x:v>
      </x:c>
      <x:c r="AB151" s="21" t="str">
        <x:v>4</x:v>
      </x:c>
      <x:c r="AC151" s="21" t="str">
        <x:v>analytical; laboratory_experiment</x:v>
      </x:c>
      <x:c r="AD151" s="21" t="str">
        <x:v>6G_access</x:v>
      </x:c>
      <x:c r="AE151" s="21" t="str">
        <x:v>direct</x:v>
      </x:c>
    </x:row>
    <x:row r="152" ht="42" customHeight="1">
      <x:c r="A152" s="21" t="str">
        <x:v>STC-SINGLETON-SCR-01000</x:v>
      </x:c>
      <x:c r="B152" s="21" t="str">
        <x:v>SCR-01000</x:v>
      </x:c>
      <x:c r="C152" s="21" t="str">
        <x:v>OISAC_SCR01000</x:v>
      </x:c>
      <x:c r="D152" s="21" t="str">
        <x:v>OISAC_SCR01000</x:v>
      </x:c>
      <x:c r="E152" s="21" t="str"/>
      <x:c r="F152" s="21" t="str">
        <x:v>OISAC_SCR01000</x:v>
      </x:c>
      <x:c r="G152" s="21" t="str">
        <x:v>\cite{OISAC_SCR01000}</x:v>
      </x:c>
      <x:c r="H152" s="21" t="str">
        <x:v>Wang et al. (2026)</x:v>
      </x:c>
      <x:c r="I152" s="21" t="str">
        <x:v>Simultaneous Full-Photonic Dechirping and Demodulation THz-ISAC System Based on Thin-Film Lithium Niobate Modulator</x:v>
      </x:c>
      <x:c r="J152" s="23" t="str">
        <x:v>2026</x:v>
      </x:c>
      <x:c r="K152" s="21" t="str">
        <x:v>Journal of Lightwave Technology</x:v>
      </x:c>
      <x:c r="L152" s="21" t="str">
        <x:v>10.1109/jlt.2026.3672125</x:v>
      </x:c>
      <x:c r="M152" s="21" t="str">
        <x:v>RPT-SCR-01000-01</x:v>
      </x:c>
      <x:c r="N152" s="23" t="str">
        <x:v>1</x:v>
      </x:c>
      <x:c r="O152" s="23" t="str">
        <x:v>0</x:v>
      </x:c>
      <x:c r="P152" s="21" t="str">
        <x:v>RPT-SCR-01000-01</x:v>
      </x:c>
      <x:c r="Q152" s="23" t="str">
        <x:v>1</x:v>
      </x:c>
      <x:c r="R152" s="23" t="str">
        <x:v>15</x:v>
      </x:c>
      <x:c r="S152" s="23" t="str">
        <x:v>39</x:v>
      </x:c>
      <x:c r="T152" s="23" t="str">
        <x:v>4</x:v>
      </x:c>
      <x:c r="U152" s="23" t="str">
        <x:v>0</x:v>
      </x:c>
      <x:c r="V152" s="21" t="str"/>
      <x:c r="W152" s="21" t="str">
        <x:v>governed_eligible</x:v>
      </x:c>
      <x:c r="X152" s="21" t="str">
        <x:v>photonic_THz</x:v>
      </x:c>
      <x:c r="Y152" s="21" t="str">
        <x:v>shared_link_or_channel</x:v>
      </x:c>
      <x:c r="Z152" s="21" t="str">
        <x:v>20_to_22_Gbit_s_QPSK; full_photonic_coherent_demodulation; EVM_evaluation; wireless_link_up_to_1_93_m_tested</x:v>
      </x:c>
      <x:c r="AA152" s="21" t="str">
        <x:v>stationary_target_ranging; range_resolution; distance_accuracy; two_target_separation</x:v>
      </x:c>
      <x:c r="AB152" s="21" t="str">
        <x:v>4</x:v>
      </x:c>
      <x:c r="AC152" s="21" t="str">
        <x:v>analytical; laboratory_experiment; prototype_testbed</x:v>
      </x:c>
      <x:c r="AD152" s="21" t="str">
        <x:v>6G_access; indoor_positioning; vehicular</x:v>
      </x:c>
      <x:c r="AE152" s="21" t="str">
        <x:v>direct</x:v>
      </x:c>
    </x:row>
    <x:row r="153" ht="42" customHeight="1">
      <x:c r="A153" s="21" t="str">
        <x:v>STC-SINGLETON-SCR-01001</x:v>
      </x:c>
      <x:c r="B153" s="21" t="str">
        <x:v>SCR-01001</x:v>
      </x:c>
      <x:c r="C153" s="21" t="str">
        <x:v>OISAC_SCR01001</x:v>
      </x:c>
      <x:c r="D153" s="21" t="str">
        <x:v>OISAC_SCR01001</x:v>
      </x:c>
      <x:c r="E153" s="21" t="str"/>
      <x:c r="F153" s="21" t="str">
        <x:v>OISAC_SCR01001</x:v>
      </x:c>
      <x:c r="G153" s="21" t="str">
        <x:v>\cite{OISAC_SCR01001}</x:v>
      </x:c>
      <x:c r="H153" s="21" t="str">
        <x:v>Saghir et al. (2025)</x:v>
      </x:c>
      <x:c r="I153" s="21" t="str">
        <x:v>Movable Access Point-Aided Integrated Visible Light Communication and Sensing Networks</x:v>
      </x:c>
      <x:c r="J153" s="23" t="str">
        <x:v>2025</x:v>
      </x:c>
      <x:c r="K153" s="21" t="str">
        <x:v>IEEE Wireless Communications Letters</x:v>
      </x:c>
      <x:c r="L153" s="21" t="str">
        <x:v>10.1109/lwc.2024.3521192</x:v>
      </x:c>
      <x:c r="M153" s="21" t="str">
        <x:v>RPT-SCR-01001-01</x:v>
      </x:c>
      <x:c r="N153" s="23" t="str">
        <x:v>1</x:v>
      </x:c>
      <x:c r="O153" s="23" t="str">
        <x:v>0</x:v>
      </x:c>
      <x:c r="P153" s="21" t="str">
        <x:v>RPT-SCR-01001-01</x:v>
      </x:c>
      <x:c r="Q153" s="23" t="str">
        <x:v>1</x:v>
      </x:c>
      <x:c r="R153" s="23" t="str">
        <x:v>16</x:v>
      </x:c>
      <x:c r="S153" s="23" t="str">
        <x:v>35</x:v>
      </x:c>
      <x:c r="T153" s="23" t="str">
        <x:v>3</x:v>
      </x:c>
      <x:c r="U153" s="23" t="str">
        <x:v>0</x:v>
      </x:c>
      <x:c r="V153" s="21" t="str"/>
      <x:c r="W153" s="21" t="str">
        <x:v>governed_eligible</x:v>
      </x:c>
      <x:c r="X153" s="21" t="str">
        <x:v>VLC_LiFi</x:v>
      </x:c>
      <x:c r="Y153" s="21" t="str">
        <x:v>shared_hardware; joint_design_or_optimization; shared_application_scenario</x:v>
      </x:c>
      <x:c r="Z153" s="21" t="str">
        <x:v>downlink_visible_light_data_service; achievable_rate_maximization; mobility_and_blockage_robust_user_association</x:v>
      </x:c>
      <x:c r="AA153" s="21" t="str">
        <x:v>active_reflection_based_channel_information_sensing; sensing_mutual_information_optimization; no direct range_velocity_detection_or_localization_output_is_simulated</x:v>
      </x:c>
      <x:c r="AB153" s="21" t="str">
        <x:v>3</x:v>
      </x:c>
      <x:c r="AC153" s="21" t="str">
        <x:v>analytical; numerical_analysis; simulation</x:v>
      </x:c>
      <x:c r="AD153" s="21" t="str">
        <x:v>industrial</x:v>
      </x:c>
      <x:c r="AE153" s="21" t="str">
        <x:v>direct</x:v>
      </x:c>
    </x:row>
    <x:row r="154" ht="42" customHeight="1">
      <x:c r="A154" s="21" t="str">
        <x:v>STC-SINGLETON-SCR-01004</x:v>
      </x:c>
      <x:c r="B154" s="21" t="str">
        <x:v>SCR-01004</x:v>
      </x:c>
      <x:c r="C154" s="21" t="str">
        <x:v>OISAC_SCR01004</x:v>
      </x:c>
      <x:c r="D154" s="21" t="str">
        <x:v>OISAC_SCR01004</x:v>
      </x:c>
      <x:c r="E154" s="21" t="str"/>
      <x:c r="F154" s="21" t="str">
        <x:v>OISAC_SCR01004</x:v>
      </x:c>
      <x:c r="G154" s="21" t="str">
        <x:v>\cite{OISAC_SCR01004}</x:v>
      </x:c>
      <x:c r="H154" s="21" t="str">
        <x:v>He et al. (2026)</x:v>
      </x:c>
      <x:c r="I154" s="21" t="str">
        <x:v>Sliding Window-Based LSTM Scheme for PAM-4 Photonics-Assisted W-Band ISAC Systems</x:v>
      </x:c>
      <x:c r="J154" s="23" t="str">
        <x:v>2026</x:v>
      </x:c>
      <x:c r="K154" s="21" t="str">
        <x:v>IEEE Photonics Technology Letters</x:v>
      </x:c>
      <x:c r="L154" s="21" t="str">
        <x:v>10.1109/lpt.2025.3614902</x:v>
      </x:c>
      <x:c r="M154" s="21" t="str">
        <x:v>RPT-SCR-01004-01</x:v>
      </x:c>
      <x:c r="N154" s="23" t="str">
        <x:v>1</x:v>
      </x:c>
      <x:c r="O154" s="23" t="str">
        <x:v>0</x:v>
      </x:c>
      <x:c r="P154" s="21" t="str">
        <x:v>RPT-SCR-01004-01</x:v>
      </x:c>
      <x:c r="Q154" s="23" t="str">
        <x:v>1</x:v>
      </x:c>
      <x:c r="R154" s="23" t="str">
        <x:v>16</x:v>
      </x:c>
      <x:c r="S154" s="23" t="str">
        <x:v>46</x:v>
      </x:c>
      <x:c r="T154" s="23" t="str">
        <x:v>3</x:v>
      </x:c>
      <x:c r="U154" s="23" t="str">
        <x:v>0</x:v>
      </x:c>
      <x:c r="V154" s="21" t="str"/>
      <x:c r="W154" s="21" t="str">
        <x:v>governed_eligible</x:v>
      </x:c>
      <x:c r="X154" s="21" t="str">
        <x:v>photonic_THz</x:v>
      </x:c>
      <x:c r="Y154" s="21" t="str">
        <x:v>shared_waveform; shared_link_or_channel</x:v>
      </x:c>
      <x:c r="Z154" s="21" t="str">
        <x:v>0.8_GBaud_PAM4_transmission; offline_sliding_window_LSTM_equalization; BER_evaluation; receiver_sensitivity_improvement</x:v>
      </x:c>
      <x:c r="AA154" s="21" t="str">
        <x:v>static_corner_reflector_ranging; two_target_distance_difference; range_resolution; average_ranging_error</x:v>
      </x:c>
      <x:c r="AB154" s="21" t="str">
        <x:v>4</x:v>
      </x:c>
      <x:c r="AC154" s="21" t="str">
        <x:v>analytical; laboratory_experiment; prototype_testbed</x:v>
      </x:c>
      <x:c r="AD154" s="21" t="str">
        <x:v>6G_access; vehicular; industrial</x:v>
      </x:c>
      <x:c r="AE154" s="21" t="str">
        <x:v>inferred</x:v>
      </x:c>
    </x:row>
    <x:row r="155" ht="42" customHeight="1">
      <x:c r="A155" s="21" t="str">
        <x:v>STC-SINGLETON-SCR-01006</x:v>
      </x:c>
      <x:c r="B155" s="21" t="str">
        <x:v>SCR-01006</x:v>
      </x:c>
      <x:c r="C155" s="21" t="str">
        <x:v>OISAC_SCR01006</x:v>
      </x:c>
      <x:c r="D155" s="21" t="str">
        <x:v>OISAC_SCR01006</x:v>
      </x:c>
      <x:c r="E155" s="21" t="str"/>
      <x:c r="F155" s="21" t="str">
        <x:v>OISAC_SCR01006</x:v>
      </x:c>
      <x:c r="G155" s="21" t="str">
        <x:v>\cite{OISAC_SCR01006}</x:v>
      </x:c>
      <x:c r="H155" s="21" t="str">
        <x:v>Wang et al. (2024)</x:v>
      </x:c>
      <x:c r="I155" s="21" t="str">
        <x:v>Co-Route Fiber Recognition and Status Diagnosis Based on Integrated Sensing and Communication in 6G Transport Networks</x:v>
      </x:c>
      <x:c r="J155" s="23" t="str">
        <x:v>2024</x:v>
      </x:c>
      <x:c r="K155" s="21" t="str">
        <x:v>IEEE Internet of Things Journal</x:v>
      </x:c>
      <x:c r="L155" s="21" t="str">
        <x:v>10.1109/jiot.2024.3414863</x:v>
      </x:c>
      <x:c r="M155" s="21" t="str">
        <x:v>RPT-SCR-01006-01</x:v>
      </x:c>
      <x:c r="N155" s="23" t="str">
        <x:v>1</x:v>
      </x:c>
      <x:c r="O155" s="23" t="str">
        <x:v>0</x:v>
      </x:c>
      <x:c r="P155" s="21" t="str">
        <x:v>RPT-SCR-01006-01</x:v>
      </x:c>
      <x:c r="Q155" s="23" t="str">
        <x:v>1</x:v>
      </x:c>
      <x:c r="R155" s="23" t="str">
        <x:v>18</x:v>
      </x:c>
      <x:c r="S155" s="23" t="str">
        <x:v>39</x:v>
      </x:c>
      <x:c r="T155" s="23" t="str">
        <x:v>3</x:v>
      </x:c>
      <x:c r="U155" s="23" t="str">
        <x:v>0</x:v>
      </x:c>
      <x:c r="V155" s="21" t="str"/>
      <x:c r="W155" s="21" t="str">
        <x:v>governed_eligible</x:v>
      </x:c>
      <x:c r="X155" s="21" t="str">
        <x:v>fiber</x:v>
      </x:c>
      <x:c r="Y155" s="21" t="str">
        <x:v>shared_link_or_channel; shared_resource_allocation</x:v>
      </x:c>
      <x:c r="Z155" s="21" t="str">
        <x:v>continued_transport_of_existing_network_services; SDN_delivery_of_sensing_features_and_alerts; no throughput_BER_latency_or_capacity_result</x:v>
      </x:c>
      <x:c r="AA155" s="21" t="str">
        <x:v>co_cable_fiber_pair_recognition; fiber_trench_classification; co_trench_inference; six_class_vibration_event_recognition; real_time_status_alerting_concept</x:v>
      </x:c>
      <x:c r="AB155" s="21" t="str">
        <x:v>6</x:v>
      </x:c>
      <x:c r="AC155" s="21" t="str">
        <x:v>analytical; dataset_based; field_experiment</x:v>
      </x:c>
      <x:c r="AD155" s="21" t="str">
        <x:v>6G_access; security; environment_monitoring; optical_access_network; smart_infrastructure</x:v>
      </x:c>
      <x:c r="AE155" s="21" t="str">
        <x:v>direct</x:v>
      </x:c>
    </x:row>
    <x:row r="156" ht="42" customHeight="1">
      <x:c r="A156" s="21" t="str">
        <x:v>STC-SINGLETON-SCR-01008</x:v>
      </x:c>
      <x:c r="B156" s="21" t="str">
        <x:v>SCR-01008</x:v>
      </x:c>
      <x:c r="C156" s="21" t="str">
        <x:v>OISAC_SCR01008</x:v>
      </x:c>
      <x:c r="D156" s="21" t="str">
        <x:v>OISAC_SCR01008</x:v>
      </x:c>
      <x:c r="E156" s="21" t="str"/>
      <x:c r="F156" s="21" t="str">
        <x:v>OISAC_SCR01008</x:v>
      </x:c>
      <x:c r="G156" s="21" t="str">
        <x:v>\cite{OISAC_SCR01008}</x:v>
      </x:c>
      <x:c r="H156" s="21" t="str">
        <x:v>Li et al. (2026)</x:v>
      </x:c>
      <x:c r="I156" s="21" t="str">
        <x:v>Submarine integrated sensing and communication cable networks enable high-precision earthquake location estimation through linear wavefront theory</x:v>
      </x:c>
      <x:c r="J156" s="23" t="str">
        <x:v>2026</x:v>
      </x:c>
      <x:c r="K156" s="21" t="str">
        <x:v>Journal of Optical Communications and Networking</x:v>
      </x:c>
      <x:c r="L156" s="21" t="str">
        <x:v>10.1364/jocn.585552</x:v>
      </x:c>
      <x:c r="M156" s="21" t="str">
        <x:v>RPT-SCR-01008-01</x:v>
      </x:c>
      <x:c r="N156" s="23" t="str">
        <x:v>1</x:v>
      </x:c>
      <x:c r="O156" s="23" t="str">
        <x:v>0</x:v>
      </x:c>
      <x:c r="P156" s="21" t="str">
        <x:v>RPT-SCR-01008-01</x:v>
      </x:c>
      <x:c r="Q156" s="23" t="str">
        <x:v>1</x:v>
      </x:c>
      <x:c r="R156" s="23" t="str">
        <x:v>15</x:v>
      </x:c>
      <x:c r="S156" s="23" t="str">
        <x:v>20</x:v>
      </x:c>
      <x:c r="T156" s="23" t="str">
        <x:v>0</x:v>
      </x:c>
      <x:c r="U156" s="23" t="str">
        <x:v>0</x:v>
      </x:c>
      <x:c r="V156" s="21" t="str"/>
      <x:c r="W156" s="21" t="str">
        <x:v>governed_eligible</x:v>
      </x:c>
      <x:c r="X156" s="21" t="str">
        <x:v>fiber</x:v>
      </x:c>
      <x:c r="Y156" s="21" t="str">
        <x:v>shared_link_or_channel</x:v>
      </x:c>
      <x:c r="Z156" s="21" t="str">
        <x:v>submarine_optical_telecommunication_infrastructure; international_data_transport_context</x:v>
      </x:c>
      <x:c r="AA156" s="21" t="str">
        <x:v>earthquake_detection; P_S_phase_picking; earthquake_epicenter_localization; earthquake_swarm_location_estimation</x:v>
      </x:c>
      <x:c r="AB156" s="21" t="str">
        <x:v>6</x:v>
      </x:c>
      <x:c r="AC156" s="21" t="str">
        <x:v>analytical; dataset_based; field_experiment</x:v>
      </x:c>
      <x:c r="AD156" s="21" t="str">
        <x:v>indoor_positioning; smart_infrastructure</x:v>
      </x:c>
      <x:c r="AE156" s="21" t="str">
        <x:v>direct</x:v>
      </x:c>
    </x:row>
    <x:row r="157" ht="42" customHeight="1">
      <x:c r="A157" s="21" t="str">
        <x:v>STC-SINGLETON-SCR-01009</x:v>
      </x:c>
      <x:c r="B157" s="21" t="str">
        <x:v>SCR-01009</x:v>
      </x:c>
      <x:c r="C157" s="21" t="str">
        <x:v>OISAC_SCR01009</x:v>
      </x:c>
      <x:c r="D157" s="21" t="str">
        <x:v>OISAC_SCR01009</x:v>
      </x:c>
      <x:c r="E157" s="21" t="str"/>
      <x:c r="F157" s="21" t="str">
        <x:v>OISAC_SCR01009</x:v>
      </x:c>
      <x:c r="G157" s="21" t="str">
        <x:v>\cite{OISAC_SCR01009}</x:v>
      </x:c>
      <x:c r="H157" s="21" t="str">
        <x:v>Lei et al. (2024)</x:v>
      </x:c>
      <x:c r="I157" s="21" t="str">
        <x:v>Demonstration of Photonic Sub-THz ISAC System with Real-Time 251.03-Gbps Communication Rate and Offline 2.5-cm Sensing Resolution</x:v>
      </x:c>
      <x:c r="J157" s="23" t="str">
        <x:v>2024</x:v>
      </x:c>
      <x:c r="K157" s="21" t="str">
        <x:v>2024 22nd International Conference on Optical Communications and Networks (ICOCN)</x:v>
      </x:c>
      <x:c r="L157" s="21" t="str">
        <x:v>10.1109/icocn63276.2024.10648485</x:v>
      </x:c>
      <x:c r="M157" s="21" t="str">
        <x:v>RPT-SCR-01009-01</x:v>
      </x:c>
      <x:c r="N157" s="23" t="str">
        <x:v>1</x:v>
      </x:c>
      <x:c r="O157" s="23" t="str">
        <x:v>0</x:v>
      </x:c>
      <x:c r="P157" s="21" t="str">
        <x:v>RPT-SCR-01009-01</x:v>
      </x:c>
      <x:c r="Q157" s="23" t="str">
        <x:v>1</x:v>
      </x:c>
      <x:c r="R157" s="23" t="str">
        <x:v>12</x:v>
      </x:c>
      <x:c r="S157" s="23" t="str">
        <x:v>19</x:v>
      </x:c>
      <x:c r="T157" s="23" t="str">
        <x:v>1</x:v>
      </x:c>
      <x:c r="U157" s="23" t="str">
        <x:v>0</x:v>
      </x:c>
      <x:c r="V157" s="21" t="str"/>
      <x:c r="W157" s="21" t="str">
        <x:v>governed_eligible</x:v>
      </x:c>
      <x:c r="X157" s="21" t="str">
        <x:v>photonic_THz</x:v>
      </x:c>
      <x:c r="Y157" s="21" t="str">
        <x:v>shared_link_or_channel; shared_resource_allocation</x:v>
      </x:c>
      <x:c r="Z157" s="21" t="str">
        <x:v>real_time_100GbE_200GbE_transport; dual_polarization_QPSK_16QAM; coherent_demodulation</x:v>
      </x:c>
      <x:c r="AA157" s="21" t="str">
        <x:v>range_profiling; two_dimensional_range_Doppler_imaging; three_target_separation</x:v>
      </x:c>
      <x:c r="AB157" s="21" t="str">
        <x:v>5</x:v>
      </x:c>
      <x:c r="AC157" s="21" t="str">
        <x:v>laboratory_experiment; prototype_testbed</x:v>
      </x:c>
      <x:c r="AD157" s="21" t="str">
        <x:v>6G_access</x:v>
      </x:c>
      <x:c r="AE157" s="21" t="str">
        <x:v>direct</x:v>
      </x:c>
    </x:row>
    <x:row r="158" ht="42" customHeight="1">
      <x:c r="A158" s="21" t="str">
        <x:v>STC-SINGLETON-SCR-01010</x:v>
      </x:c>
      <x:c r="B158" s="21" t="str">
        <x:v>SCR-01010</x:v>
      </x:c>
      <x:c r="C158" s="21" t="str">
        <x:v>OISAC_SCR01010</x:v>
      </x:c>
      <x:c r="D158" s="21" t="str">
        <x:v>OISAC_SCR01010</x:v>
      </x:c>
      <x:c r="E158" s="21" t="str"/>
      <x:c r="F158" s="21" t="str">
        <x:v>OISAC_SCR01010</x:v>
      </x:c>
      <x:c r="G158" s="21" t="str">
        <x:v>\cite{OISAC_SCR01010}</x:v>
      </x:c>
      <x:c r="H158" s="21" t="str">
        <x:v>Lyu et al. (2026)</x:v>
      </x:c>
      <x:c r="I158" s="21" t="str">
        <x:v>Photonic Chirp Spread Spectrum THz-ISAC: Constraints and Design Considerations</x:v>
      </x:c>
      <x:c r="J158" s="23" t="str">
        <x:v>2026</x:v>
      </x:c>
      <x:c r="K158" s="21" t="str">
        <x:v>IEEE Transactions on Microwave Theory and Techniques</x:v>
      </x:c>
      <x:c r="L158" s="21" t="str">
        <x:v>10.1109/tmtt.2025.3615239</x:v>
      </x:c>
      <x:c r="M158" s="21" t="str">
        <x:v>RPT-SCR-01010-01</x:v>
      </x:c>
      <x:c r="N158" s="23" t="str">
        <x:v>1</x:v>
      </x:c>
      <x:c r="O158" s="23" t="str">
        <x:v>0</x:v>
      </x:c>
      <x:c r="P158" s="21" t="str">
        <x:v>RPT-SCR-01010-01</x:v>
      </x:c>
      <x:c r="Q158" s="23" t="str">
        <x:v>1</x:v>
      </x:c>
      <x:c r="R158" s="23" t="str">
        <x:v>15</x:v>
      </x:c>
      <x:c r="S158" s="23" t="str">
        <x:v>21</x:v>
      </x:c>
      <x:c r="T158" s="23" t="str">
        <x:v>2</x:v>
      </x:c>
      <x:c r="U158" s="23" t="str">
        <x:v>0</x:v>
      </x:c>
      <x:c r="V158" s="21" t="str"/>
      <x:c r="W158" s="21" t="str">
        <x:v>governed_eligible</x:v>
      </x:c>
      <x:c r="X158" s="21" t="str">
        <x:v>photonic_THz</x:v>
      </x:c>
      <x:c r="Y158" s="21" t="str">
        <x:v>shared_waveform; shared_resource_allocation</x:v>
      </x:c>
      <x:c r="Z158" s="21" t="str">
        <x:v>QPSK_transmission; CSS_despreading; time_frequency_synchronization; equalization</x:v>
      </x:c>
      <x:c r="AA158" s="21" t="str">
        <x:v>one_dimensional_distance_estimation; range_resolution</x:v>
      </x:c>
      <x:c r="AB158" s="21" t="str">
        <x:v>5</x:v>
      </x:c>
      <x:c r="AC158" s="21" t="str">
        <x:v>analytical; simulation; laboratory_experiment; prototype_testbed</x:v>
      </x:c>
      <x:c r="AD158" s="21" t="str">
        <x:v>6G_access</x:v>
      </x:c>
      <x:c r="AE158" s="21" t="str">
        <x:v>direct</x:v>
      </x:c>
    </x:row>
    <x:row r="159" ht="42" customHeight="1">
      <x:c r="A159" s="21" t="str">
        <x:v>STC-SINGLETON-SCR-01011</x:v>
      </x:c>
      <x:c r="B159" s="21" t="str">
        <x:v>SCR-01011</x:v>
      </x:c>
      <x:c r="C159" s="21" t="str">
        <x:v>OISAC_SCR01011</x:v>
      </x:c>
      <x:c r="D159" s="21" t="str">
        <x:v>OISAC_SCR01011</x:v>
      </x:c>
      <x:c r="E159" s="21" t="str"/>
      <x:c r="F159" s="21" t="str">
        <x:v>OISAC_SCR01011</x:v>
      </x:c>
      <x:c r="G159" s="21" t="str">
        <x:v>\cite{OISAC_SCR01011}</x:v>
      </x:c>
      <x:c r="H159" s="21" t="str">
        <x:v>Prabhakar et al. (2026)</x:v>
      </x:c>
      <x:c r="I159" s="21" t="str">
        <x:v>A THz with VLC Assisted ISAC System Under the Impact of Human Blockages</x:v>
      </x:c>
      <x:c r="J159" s="23" t="str">
        <x:v>2026</x:v>
      </x:c>
      <x:c r="K159" s="21" t="str">
        <x:v>2026 IEEE Wireless Communications and Networking Conference (WCNC)</x:v>
      </x:c>
      <x:c r="L159" s="21" t="str">
        <x:v>10.1109/wcnc65185.2026.11555578</x:v>
      </x:c>
      <x:c r="M159" s="21" t="str">
        <x:v>RPT-SCR-01011-01</x:v>
      </x:c>
      <x:c r="N159" s="23" t="str">
        <x:v>1</x:v>
      </x:c>
      <x:c r="O159" s="23" t="str">
        <x:v>0</x:v>
      </x:c>
      <x:c r="P159" s="21" t="str">
        <x:v>RPT-SCR-01011-01</x:v>
      </x:c>
      <x:c r="Q159" s="23" t="str">
        <x:v>1</x:v>
      </x:c>
      <x:c r="R159" s="23" t="str">
        <x:v>12</x:v>
      </x:c>
      <x:c r="S159" s="23" t="str">
        <x:v>18</x:v>
      </x:c>
      <x:c r="T159" s="23" t="str">
        <x:v>1</x:v>
      </x:c>
      <x:c r="U159" s="23" t="str">
        <x:v>0</x:v>
      </x:c>
      <x:c r="V159" s="21" t="str"/>
      <x:c r="W159" s="21" t="str">
        <x:v>governed_eligible</x:v>
      </x:c>
      <x:c r="X159" s="21" t="str">
        <x:v>hybrid_optical</x:v>
      </x:c>
      <x:c r="Y159" s="21" t="str">
        <x:v>shared_application_scenario</x:v>
      </x:c>
      <x:c r="Z159" s="21" t="str">
        <x:v>VLC_downlink; THz_downlink; blockage_aware_access_point_association; coverage_and_outage_control</x:v>
      </x:c>
      <x:c r="AA159" s="21" t="str">
        <x:v>THz_direction_of_arrival_user_localization; detectable_non_detectable_user_classification</x:v>
      </x:c>
      <x:c r="AB159" s="21" t="str">
        <x:v>3</x:v>
      </x:c>
      <x:c r="AC159" s="21" t="str">
        <x:v>analytical; simulation</x:v>
      </x:c>
      <x:c r="AD159" s="21" t="str">
        <x:v>6G_access; indoor_positioning</x:v>
      </x:c>
      <x:c r="AE159" s="21" t="str">
        <x:v>direct</x:v>
      </x:c>
    </x:row>
    <x:row r="160" ht="42" customHeight="1">
      <x:c r="A160" s="21" t="str">
        <x:v>STC-SINGLETON-SCR-01012</x:v>
      </x:c>
      <x:c r="B160" s="21" t="str">
        <x:v>SCR-01012</x:v>
      </x:c>
      <x:c r="C160" s="21" t="str">
        <x:v>OISAC_SCR01012</x:v>
      </x:c>
      <x:c r="D160" s="21" t="str">
        <x:v>OISAC_SCR01012</x:v>
      </x:c>
      <x:c r="E160" s="21" t="str"/>
      <x:c r="F160" s="21" t="str">
        <x:v>OISAC_SCR01012</x:v>
      </x:c>
      <x:c r="G160" s="21" t="str">
        <x:v>\cite{OISAC_SCR01012}</x:v>
      </x:c>
      <x:c r="H160" s="21" t="str">
        <x:v>Zhou et al. (2024)</x:v>
      </x:c>
      <x:c r="I160" s="21" t="str">
        <x:v>A Sub-THz ISAC System with Simultaneous Real-Time 125.516-Gbps Communication Rate and Offline 10-mm Sensing Resolution Enabled by Photonics</x:v>
      </x:c>
      <x:c r="J160" s="23" t="str">
        <x:v>2024</x:v>
      </x:c>
      <x:c r="K160" s="21" t="str">
        <x:v>ECOC 2024; 50th European Conference on Optical Communication</x:v>
      </x:c>
      <x:c r="L160" s="21" t="str"/>
      <x:c r="M160" s="21" t="str">
        <x:v>RPT-SCR-01012-01</x:v>
      </x:c>
      <x:c r="N160" s="23" t="str">
        <x:v>1</x:v>
      </x:c>
      <x:c r="O160" s="23" t="str">
        <x:v>0</x:v>
      </x:c>
      <x:c r="P160" s="21" t="str">
        <x:v>RPT-SCR-01012-01</x:v>
      </x:c>
      <x:c r="Q160" s="23" t="str">
        <x:v>1</x:v>
      </x:c>
      <x:c r="R160" s="23" t="str">
        <x:v>11</x:v>
      </x:c>
      <x:c r="S160" s="23" t="str">
        <x:v>18</x:v>
      </x:c>
      <x:c r="T160" s="23" t="str">
        <x:v>3</x:v>
      </x:c>
      <x:c r="U160" s="23" t="str">
        <x:v>0</x:v>
      </x:c>
      <x:c r="V160" s="21" t="str"/>
      <x:c r="W160" s="21" t="str">
        <x:v>governed_eligible</x:v>
      </x:c>
      <x:c r="X160" s="21" t="str">
        <x:v>photonic_THz</x:v>
      </x:c>
      <x:c r="Y160" s="21" t="str">
        <x:v>shared_resource_allocation</x:v>
      </x:c>
      <x:c r="Z160" s="21" t="str">
        <x:v>real_time_125.516_Gbit_s_2x2_MIMO_fiber_wireless_fiber</x:v>
      </x:c>
      <x:c r="AA160" s="21" t="str">
        <x:v>two_target_range_separation</x:v>
      </x:c>
      <x:c r="AB160" s="21" t="str">
        <x:v>4</x:v>
      </x:c>
      <x:c r="AC160" s="21" t="str">
        <x:v>analytical; laboratory_experiment</x:v>
      </x:c>
      <x:c r="AD160" s="21" t="str">
        <x:v>6G_access</x:v>
      </x:c>
      <x:c r="AE160" s="21" t="str">
        <x:v>direct</x:v>
      </x:c>
    </x:row>
    <x:row r="161" ht="42" customHeight="1">
      <x:c r="A161" s="21" t="str">
        <x:v>STC-SINGLETON-SCR-01018</x:v>
      </x:c>
      <x:c r="B161" s="21" t="str">
        <x:v>SCR-01018</x:v>
      </x:c>
      <x:c r="C161" s="21" t="str">
        <x:v>OISAC_SCR01018</x:v>
      </x:c>
      <x:c r="D161" s="21" t="str">
        <x:v>OISAC_SCR01018</x:v>
      </x:c>
      <x:c r="E161" s="21" t="str"/>
      <x:c r="F161" s="21" t="str">
        <x:v>OISAC_SCR01018</x:v>
      </x:c>
      <x:c r="G161" s="21" t="str">
        <x:v>\cite{OISAC_SCR01018}</x:v>
      </x:c>
      <x:c r="H161" s="21" t="str">
        <x:v>He et al. (2025)</x:v>
      </x:c>
      <x:c r="I161" s="21" t="str">
        <x:v>Zero-Padding 2D-DFT Scheme for Photonics-Assisted W-Band Fiber-Wireless ISAC System With Orthogonal Time Frequency Space Modulation</x:v>
      </x:c>
      <x:c r="J161" s="23" t="str">
        <x:v>2025</x:v>
      </x:c>
      <x:c r="K161" s="21" t="str">
        <x:v>Journal of Lightwave Technology</x:v>
      </x:c>
      <x:c r="L161" s="21" t="str">
        <x:v>10.1109/jlt.2025.3602312</x:v>
      </x:c>
      <x:c r="M161" s="21" t="str">
        <x:v>RPT-SCR-01018-01</x:v>
      </x:c>
      <x:c r="N161" s="23" t="str">
        <x:v>1</x:v>
      </x:c>
      <x:c r="O161" s="23" t="str">
        <x:v>0</x:v>
      </x:c>
      <x:c r="P161" s="21" t="str">
        <x:v>RPT-SCR-01018-01</x:v>
      </x:c>
      <x:c r="Q161" s="23" t="str">
        <x:v>1</x:v>
      </x:c>
      <x:c r="R161" s="23" t="str">
        <x:v>12</x:v>
      </x:c>
      <x:c r="S161" s="23" t="str">
        <x:v>23</x:v>
      </x:c>
      <x:c r="T161" s="23" t="str">
        <x:v>2</x:v>
      </x:c>
      <x:c r="U161" s="23" t="str">
        <x:v>0</x:v>
      </x:c>
      <x:c r="V161" s="21" t="str"/>
      <x:c r="W161" s="21" t="str">
        <x:v>governed_eligible</x:v>
      </x:c>
      <x:c r="X161" s="21" t="str">
        <x:v>photonic_THz</x:v>
      </x:c>
      <x:c r="Y161" s="21" t="str">
        <x:v>shared_link_or_channel</x:v>
      </x:c>
      <x:c r="Z161" s="21" t="str">
        <x:v>5.44_Gbit_s_W_band_data_link</x:v>
      </x:c>
      <x:c r="AA161" s="21" t="str">
        <x:v>single_target_ranging</x:v>
      </x:c>
      <x:c r="AB161" s="21" t="str">
        <x:v>4</x:v>
      </x:c>
      <x:c r="AC161" s="21" t="str">
        <x:v>analytical; laboratory_experiment</x:v>
      </x:c>
      <x:c r="AD161" s="21" t="str">
        <x:v>6G_access</x:v>
      </x:c>
      <x:c r="AE161" s="21" t="str">
        <x:v>direct</x:v>
      </x:c>
    </x:row>
    <x:row r="162" ht="42" customHeight="1">
      <x:c r="A162" s="21" t="str">
        <x:v>STC-SINGLETON-SCR-01020</x:v>
      </x:c>
      <x:c r="B162" s="21" t="str">
        <x:v>SCR-01020</x:v>
      </x:c>
      <x:c r="C162" s="21" t="str">
        <x:v>OISAC_SCR01020</x:v>
      </x:c>
      <x:c r="D162" s="21" t="str">
        <x:v>OISAC_SCR01020</x:v>
      </x:c>
      <x:c r="E162" s="21" t="str"/>
      <x:c r="F162" s="21" t="str">
        <x:v>OISAC_SCR01020</x:v>
      </x:c>
      <x:c r="G162" s="21" t="str">
        <x:v>\cite{OISAC_SCR01020}</x:v>
      </x:c>
      <x:c r="H162" s="21" t="str">
        <x:v>Wang et al. (2026)</x:v>
      </x:c>
      <x:c r="I162" s="21" t="str">
        <x:v>Probabilistic Shaping With Bit-Weighted Distribution Matching for Photonics-Assisted mmWave Dual-Functional OFDM ISAC Systems</x:v>
      </x:c>
      <x:c r="J162" s="23" t="str">
        <x:v>2026</x:v>
      </x:c>
      <x:c r="K162" s="21" t="str">
        <x:v>Journal of Lightwave Technology</x:v>
      </x:c>
      <x:c r="L162" s="21" t="str">
        <x:v>10.1109/jlt.2026.3690699</x:v>
      </x:c>
      <x:c r="M162" s="21" t="str">
        <x:v>RPT-SCR-01020-01</x:v>
      </x:c>
      <x:c r="N162" s="23" t="str">
        <x:v>1</x:v>
      </x:c>
      <x:c r="O162" s="23" t="str">
        <x:v>0</x:v>
      </x:c>
      <x:c r="P162" s="21" t="str">
        <x:v>RPT-SCR-01020-01</x:v>
      </x:c>
      <x:c r="Q162" s="23" t="str">
        <x:v>1</x:v>
      </x:c>
      <x:c r="R162" s="23" t="str">
        <x:v>16</x:v>
      </x:c>
      <x:c r="S162" s="23" t="str">
        <x:v>34</x:v>
      </x:c>
      <x:c r="T162" s="23" t="str">
        <x:v>3</x:v>
      </x:c>
      <x:c r="U162" s="23" t="str">
        <x:v>0</x:v>
      </x:c>
      <x:c r="V162" s="21" t="str"/>
      <x:c r="W162" s="21" t="str">
        <x:v>governed_eligible</x:v>
      </x:c>
      <x:c r="X162" s="21" t="str">
        <x:v>photonic_THz</x:v>
      </x:c>
      <x:c r="Y162" s="21" t="str">
        <x:v>shared_waveform; shared_hardware; shared_resource_allocation</x:v>
      </x:c>
      <x:c r="Z162" s="21" t="str">
        <x:v>64QAM_OFDM_GMI_and_BER_link</x:v>
      </x:c>
      <x:c r="AA162" s="21" t="str">
        <x:v>single_target_ranging; sidelobe_suppression</x:v>
      </x:c>
      <x:c r="AB162" s="21" t="str">
        <x:v>4</x:v>
      </x:c>
      <x:c r="AC162" s="21" t="str">
        <x:v>analytical; simulation; laboratory_experiment</x:v>
      </x:c>
      <x:c r="AD162" s="21" t="str">
        <x:v>6G_access</x:v>
      </x:c>
      <x:c r="AE162" s="21" t="str">
        <x:v>direct</x:v>
      </x:c>
    </x:row>
    <x:row r="163" ht="42" customHeight="1">
      <x:c r="A163" s="21" t="str">
        <x:v>STC-SINGLETON-SCR-01021</x:v>
      </x:c>
      <x:c r="B163" s="21" t="str">
        <x:v>SCR-01021</x:v>
      </x:c>
      <x:c r="C163" s="21" t="str">
        <x:v>OISAC_SCR01021</x:v>
      </x:c>
      <x:c r="D163" s="21" t="str">
        <x:v>OISAC_SCR01021</x:v>
      </x:c>
      <x:c r="E163" s="21" t="str"/>
      <x:c r="F163" s="21" t="str">
        <x:v>OISAC_SCR01021</x:v>
      </x:c>
      <x:c r="G163" s="21" t="str">
        <x:v>\cite{OISAC_SCR01021}</x:v>
      </x:c>
      <x:c r="H163" s="21" t="str">
        <x:v>Xiao et al. (2025)</x:v>
      </x:c>
      <x:c r="I163" s="21" t="str">
        <x:v>Microalgae Density Measurement Using Quantum-Dot-Integrated Sensing and Communication System</x:v>
      </x:c>
      <x:c r="J163" s="23" t="str">
        <x:v>2025</x:v>
      </x:c>
      <x:c r="K163" s="21" t="str">
        <x:v>IEEE Transactions on Instrumentation and Measurement</x:v>
      </x:c>
      <x:c r="L163" s="21" t="str">
        <x:v>10.1109/tim.2025.3595231</x:v>
      </x:c>
      <x:c r="M163" s="21" t="str">
        <x:v>RPT-SCR-01021-01</x:v>
      </x:c>
      <x:c r="N163" s="23" t="str">
        <x:v>1</x:v>
      </x:c>
      <x:c r="O163" s="23" t="str">
        <x:v>0</x:v>
      </x:c>
      <x:c r="P163" s="21" t="str">
        <x:v>RPT-SCR-01021-01</x:v>
      </x:c>
      <x:c r="Q163" s="23" t="str">
        <x:v>1</x:v>
      </x:c>
      <x:c r="R163" s="23" t="str">
        <x:v>20</x:v>
      </x:c>
      <x:c r="S163" s="23" t="str">
        <x:v>51</x:v>
      </x:c>
      <x:c r="T163" s="23" t="str">
        <x:v>4</x:v>
      </x:c>
      <x:c r="U163" s="23" t="str">
        <x:v>0</x:v>
      </x:c>
      <x:c r="V163" s="21" t="str"/>
      <x:c r="W163" s="21" t="str">
        <x:v>governed_eligible</x:v>
      </x:c>
      <x:c r="X163" s="21" t="str">
        <x:v>VLC_LiFi</x:v>
      </x:c>
      <x:c r="Y163" s="21" t="str">
        <x:v>shared_waveform</x:v>
      </x:c>
      <x:c r="Z163" s="21" t="str">
        <x:v>visible_light_NRZ_OOK_data_transmission_through_microalgae_sample; BER measurement across data rate, color, density and optical-power conditions; conventional communication reliability threshold or FEC operating point not reported</x:v>
      </x:c>
      <x:c r="AA163" s="21" t="str">
        <x:v>microalgae_density_quantification_for_Euchlorocystis_marina_and_Isochrysis_galbana; species_and_condition_dependent_BER_to_density_mapping</x:v>
      </x:c>
      <x:c r="AB163" s="21" t="str">
        <x:v>4</x:v>
      </x:c>
      <x:c r="AC163" s="21" t="str">
        <x:v>analytical; simulation; laboratory_experiment</x:v>
      </x:c>
      <x:c r="AD163" s="21" t="str">
        <x:v>environment_monitoring</x:v>
      </x:c>
      <x:c r="AE163" s="21" t="str">
        <x:v>inferred</x:v>
      </x:c>
    </x:row>
    <x:row r="164" ht="42" customHeight="1">
      <x:c r="A164" s="21" t="str">
        <x:v>STC-SINGLETON-SCR-01023</x:v>
      </x:c>
      <x:c r="B164" s="21" t="str">
        <x:v>SCR-01023</x:v>
      </x:c>
      <x:c r="C164" s="21" t="str">
        <x:v>OISAC_SCR01023</x:v>
      </x:c>
      <x:c r="D164" s="21" t="str">
        <x:v>OISAC_SCR01023</x:v>
      </x:c>
      <x:c r="E164" s="21" t="str"/>
      <x:c r="F164" s="21" t="str">
        <x:v>OISAC_SCR01023</x:v>
      </x:c>
      <x:c r="G164" s="21" t="str">
        <x:v>\cite{OISAC_SCR01023}</x:v>
      </x:c>
      <x:c r="H164" s="21" t="str">
        <x:v>Li et al. (2025)</x:v>
      </x:c>
      <x:c r="I164" s="21" t="str">
        <x:v>Passive Sensing Technique Using Cyclic Prefix in Power-Constrained Optical Wireless Communication Systems</x:v>
      </x:c>
      <x:c r="J164" s="23" t="str">
        <x:v>2025</x:v>
      </x:c>
      <x:c r="K164" s="21" t="str">
        <x:v>IEEE Transactions on Vehicular Technology</x:v>
      </x:c>
      <x:c r="L164" s="21" t="str">
        <x:v>10.1109/tvt.2025.3640107</x:v>
      </x:c>
      <x:c r="M164" s="21" t="str">
        <x:v>RPT-SCR-01023-01</x:v>
      </x:c>
      <x:c r="N164" s="23" t="str">
        <x:v>1</x:v>
      </x:c>
      <x:c r="O164" s="23" t="str">
        <x:v>0</x:v>
      </x:c>
      <x:c r="P164" s="21" t="str">
        <x:v>RPT-SCR-01023-01</x:v>
      </x:c>
      <x:c r="Q164" s="23" t="str">
        <x:v>1</x:v>
      </x:c>
      <x:c r="R164" s="23" t="str">
        <x:v>20</x:v>
      </x:c>
      <x:c r="S164" s="23" t="str">
        <x:v>27</x:v>
      </x:c>
      <x:c r="T164" s="23" t="str">
        <x:v>5</x:v>
      </x:c>
      <x:c r="U164" s="23" t="str">
        <x:v>0</x:v>
      </x:c>
      <x:c r="V164" s="21" t="str"/>
      <x:c r="W164" s="21" t="str">
        <x:v>governed_eligible</x:v>
      </x:c>
      <x:c r="X164" s="21" t="str">
        <x:v>FSO</x:v>
      </x:c>
      <x:c r="Y164" s="21" t="str">
        <x:v>shared_waveform; shared_resource_allocation</x:v>
      </x:c>
      <x:c r="Z164" s="21" t="str">
        <x:v>IM_DD optical wireless M-QAM CEO-OFDM data transmission under peak optical-power/clipping constraints; BER evaluation against DCO-OFDM and ACO-OFDM at the same effective data rate</x:v>
      </x:c>
      <x:c r="AA164" s="21" t="str">
        <x:v>passive_target_detection; TOA_and_TDOA_estimation; transmitter_receiver_distance_estimation; relative_velocity_estimation; UAV_to_UAV_ranging_support</x:v>
      </x:c>
      <x:c r="AB164" s="21" t="str">
        <x:v>3</x:v>
      </x:c>
      <x:c r="AC164" s="21" t="str">
        <x:v>analytical; simulation</x:v>
      </x:c>
      <x:c r="AD164" s="21" t="str">
        <x:v>6G_access; indoor_positioning; aerospace</x:v>
      </x:c>
      <x:c r="AE164" s="21" t="str">
        <x:v>direct</x:v>
      </x:c>
    </x:row>
    <x:row r="165" ht="42" customHeight="1">
      <x:c r="A165" s="21" t="str">
        <x:v>STC-SINGLETON-SCR-01024</x:v>
      </x:c>
      <x:c r="B165" s="21" t="str">
        <x:v>SCR-01024</x:v>
      </x:c>
      <x:c r="C165" s="21" t="str">
        <x:v>OISAC_SCR01024</x:v>
      </x:c>
      <x:c r="D165" s="21" t="str">
        <x:v>OISAC_SCR01024</x:v>
      </x:c>
      <x:c r="E165" s="21" t="str"/>
      <x:c r="F165" s="21" t="str">
        <x:v>OISAC_SCR01024</x:v>
      </x:c>
      <x:c r="G165" s="21" t="str">
        <x:v>\cite{OISAC_SCR01024}</x:v>
      </x:c>
      <x:c r="H165" s="21" t="str">
        <x:v>Satai et al. (2026)</x:v>
      </x:c>
      <x:c r="I165" s="21" t="str">
        <x:v>Single-Source Integrated Optical Wireless Positioning and Communication</x:v>
      </x:c>
      <x:c r="J165" s="23" t="str">
        <x:v>2026</x:v>
      </x:c>
      <x:c r="K165" s="21" t="str">
        <x:v>2026 IEEE 6th International Symposium on Joint Communications &amp; Sensing (JC&amp;S)</x:v>
      </x:c>
      <x:c r="L165" s="21" t="str">
        <x:v>10.1109/jcs69321.2026.11366026</x:v>
      </x:c>
      <x:c r="M165" s="21" t="str">
        <x:v>RPT-SCR-01024-01</x:v>
      </x:c>
      <x:c r="N165" s="23" t="str">
        <x:v>1</x:v>
      </x:c>
      <x:c r="O165" s="23" t="str">
        <x:v>0</x:v>
      </x:c>
      <x:c r="P165" s="21" t="str">
        <x:v>RPT-SCR-01024-01</x:v>
      </x:c>
      <x:c r="Q165" s="23" t="str">
        <x:v>1</x:v>
      </x:c>
      <x:c r="R165" s="23" t="str">
        <x:v>21</x:v>
      </x:c>
      <x:c r="S165" s="23" t="str">
        <x:v>38</x:v>
      </x:c>
      <x:c r="T165" s="23" t="str">
        <x:v>5</x:v>
      </x:c>
      <x:c r="U165" s="23" t="str">
        <x:v>0</x:v>
      </x:c>
      <x:c r="V165" s="21" t="str"/>
      <x:c r="W165" s="21" t="str">
        <x:v>governed_eligible</x:v>
      </x:c>
      <x:c r="X165" s="21" t="str">
        <x:v>VLC_LiFi</x:v>
      </x:c>
      <x:c r="Y165" s="21" t="str">
        <x:v>shared_waveform; shared_hardware; shared_resource_allocation</x:v>
      </x:c>
      <x:c r="Z165" s="21" t="str">
        <x:v>downlink_IR_DCO_OFDM_data_transmission; BER_based_coverage_across_all_three_beam_orientations; fixed_rate_QAM_links</x:v>
      </x:c>
      <x:c r="AA165" s="21" t="str">
        <x:v>two_dimensional_UE_positioning_in_known_height_plane; beamsteering_assisted_received_power_ratio_localization</x:v>
      </x:c>
      <x:c r="AB165" s="21" t="str">
        <x:v>3</x:v>
      </x:c>
      <x:c r="AC165" s="21" t="str">
        <x:v>analytical; simulation</x:v>
      </x:c>
      <x:c r="AD165" s="21" t="str">
        <x:v>6G_access; indoor_positioning; industrial</x:v>
      </x:c>
      <x:c r="AE165" s="21" t="str">
        <x:v>direct</x:v>
      </x:c>
    </x:row>
    <x:row r="166" ht="42" customHeight="1">
      <x:c r="A166" s="21" t="str">
        <x:v>STC-SINGLETON-SCR-01025</x:v>
      </x:c>
      <x:c r="B166" s="21" t="str">
        <x:v>SCR-01025</x:v>
      </x:c>
      <x:c r="C166" s="21" t="str">
        <x:v>OISAC_SCR01025</x:v>
      </x:c>
      <x:c r="D166" s="21" t="str">
        <x:v>OISAC_SCR01025</x:v>
      </x:c>
      <x:c r="E166" s="21" t="str"/>
      <x:c r="F166" s="21" t="str">
        <x:v>OISAC_SCR01025</x:v>
      </x:c>
      <x:c r="G166" s="21" t="str">
        <x:v>\cite{OISAC_SCR01025}</x:v>
      </x:c>
      <x:c r="H166" s="21" t="str">
        <x:v>Chu et al. (2026)</x:v>
      </x:c>
      <x:c r="I166" s="21" t="str">
        <x:v>Revolutionizing 6G: Experimental Validation of an Optical Integrated Communication, Sensing, and Power Transfer System</x:v>
      </x:c>
      <x:c r="J166" s="23" t="str">
        <x:v>2026</x:v>
      </x:c>
      <x:c r="K166" s="21" t="str">
        <x:v>IEEE Journal on Selected Areas in Communications</x:v>
      </x:c>
      <x:c r="L166" s="21" t="str">
        <x:v>10.1109/jsac.2025.3608091</x:v>
      </x:c>
      <x:c r="M166" s="21" t="str">
        <x:v>RPT-SCR-01025-01</x:v>
      </x:c>
      <x:c r="N166" s="23" t="str">
        <x:v>1</x:v>
      </x:c>
      <x:c r="O166" s="23" t="str">
        <x:v>0</x:v>
      </x:c>
      <x:c r="P166" s="21" t="str">
        <x:v>RPT-SCR-01025-01</x:v>
      </x:c>
      <x:c r="Q166" s="23" t="str">
        <x:v>1</x:v>
      </x:c>
      <x:c r="R166" s="23" t="str">
        <x:v>21</x:v>
      </x:c>
      <x:c r="S166" s="23" t="str">
        <x:v>43</x:v>
      </x:c>
      <x:c r="T166" s="23" t="str">
        <x:v>6</x:v>
      </x:c>
      <x:c r="U166" s="23" t="str">
        <x:v>0</x:v>
      </x:c>
      <x:c r="V166" s="21" t="str"/>
      <x:c r="W166" s="21" t="str">
        <x:v>governed_eligible</x:v>
      </x:c>
      <x:c r="X166" s="21" t="str">
        <x:v>FSO</x:v>
      </x:c>
      <x:c r="Y166" s="21" t="str">
        <x:v>shared_waveform; shared_resource_allocation</x:v>
      </x:c>
      <x:c r="Z166" s="21" t="str">
        <x:v>laser_DCO_OFDM_data_transmission; QAM_bit_loading; BER_and_7_percent_FEC_qualified_data_rate</x:v>
      </x:c>
      <x:c r="AA166" s="21" t="str">
        <x:v>passive_retroreflective_time_of_flight_ranging; distance_estimation; ranging_RMSE</x:v>
      </x:c>
      <x:c r="AB166" s="21" t="str">
        <x:v>4</x:v>
      </x:c>
      <x:c r="AC166" s="21" t="str">
        <x:v>analytical; simulation; laboratory_experiment; prototype_testbed</x:v>
      </x:c>
      <x:c r="AD166" s="21" t="str">
        <x:v>6G_access</x:v>
      </x:c>
      <x:c r="AE166" s="21" t="str">
        <x:v>direct</x:v>
      </x:c>
    </x:row>
    <x:row r="167" ht="42" customHeight="1">
      <x:c r="A167" s="21" t="str">
        <x:v>STC-SINGLETON-SCR-01028</x:v>
      </x:c>
      <x:c r="B167" s="21" t="str">
        <x:v>SCR-01028</x:v>
      </x:c>
      <x:c r="C167" s="21" t="str">
        <x:v>OISAC_SCR01028</x:v>
      </x:c>
      <x:c r="D167" s="21" t="str">
        <x:v>OISAC_SCR01028</x:v>
      </x:c>
      <x:c r="E167" s="21" t="str"/>
      <x:c r="F167" s="21" t="str">
        <x:v>OISAC_SCR01028</x:v>
      </x:c>
      <x:c r="G167" s="21" t="str">
        <x:v>\cite{OISAC_SCR01028}</x:v>
      </x:c>
      <x:c r="H167" s="21" t="str">
        <x:v>Xie et al. (2025)</x:v>
      </x:c>
      <x:c r="I167" s="21" t="str">
        <x:v>Adaptive Lighting Control in Visible Light Systems: An Integrated Sensing, Communication, and Illumination Framework</x:v>
      </x:c>
      <x:c r="J167" s="23" t="str">
        <x:v>2025</x:v>
      </x:c>
      <x:c r="K167" s="21" t="str">
        <x:v>2025 11th International Conference on Computer and Communications (ICCC)</x:v>
      </x:c>
      <x:c r="L167" s="21" t="str">
        <x:v>10.1109/iccc68654.2025.11437932</x:v>
      </x:c>
      <x:c r="M167" s="21" t="str">
        <x:v>RPT-SCR-01028-01</x:v>
      </x:c>
      <x:c r="N167" s="23" t="str">
        <x:v>1</x:v>
      </x:c>
      <x:c r="O167" s="23" t="str">
        <x:v>0</x:v>
      </x:c>
      <x:c r="P167" s="21" t="str">
        <x:v>RPT-SCR-01028-01</x:v>
      </x:c>
      <x:c r="Q167" s="23" t="str">
        <x:v>1</x:v>
      </x:c>
      <x:c r="R167" s="23" t="str">
        <x:v>14</x:v>
      </x:c>
      <x:c r="S167" s="23" t="str">
        <x:v>18</x:v>
      </x:c>
      <x:c r="T167" s="23" t="str">
        <x:v>1</x:v>
      </x:c>
      <x:c r="U167" s="23" t="str">
        <x:v>0</x:v>
      </x:c>
      <x:c r="V167" s="21" t="str"/>
      <x:c r="W167" s="21" t="str">
        <x:v>governed_eligible</x:v>
      </x:c>
      <x:c r="X167" s="21" t="str">
        <x:v>VLC_LiFi</x:v>
      </x:c>
      <x:c r="Y167" s="21" t="str">
        <x:v>shared_resource_allocation</x:v>
      </x:c>
      <x:c r="Z167" s="21" t="str">
        <x:v>indoor_visible_light_downlink; SNR_coverage; SNR_uniformity</x:v>
      </x:c>
      <x:c r="AA167" s="21" t="str">
        <x:v>user_presence_detection; two_dimensional_user_localization; trajectory_tracking</x:v>
      </x:c>
      <x:c r="AB167" s="21" t="str">
        <x:v>3</x:v>
      </x:c>
      <x:c r="AC167" s="21" t="str">
        <x:v>analytical; numerical_analysis; simulation</x:v>
      </x:c>
      <x:c r="AD167" s="21" t="str">
        <x:v>6G_access; indoor_positioning; smart_infrastructure</x:v>
      </x:c>
      <x:c r="AE167" s="21" t="str">
        <x:v>direct</x:v>
      </x:c>
    </x:row>
    <x:row r="168" ht="42" customHeight="1">
      <x:c r="A168" s="21" t="str">
        <x:v>STC-SINGLETON-SCR-01029</x:v>
      </x:c>
      <x:c r="B168" s="21" t="str">
        <x:v>SCR-01029</x:v>
      </x:c>
      <x:c r="C168" s="21" t="str">
        <x:v>OISAC_SCR01029</x:v>
      </x:c>
      <x:c r="D168" s="21" t="str">
        <x:v>OISAC_SCR01029</x:v>
      </x:c>
      <x:c r="E168" s="21" t="str"/>
      <x:c r="F168" s="21" t="str">
        <x:v>OISAC_SCR01029</x:v>
      </x:c>
      <x:c r="G168" s="21" t="str">
        <x:v>\cite{OISAC_SCR01029}</x:v>
      </x:c>
      <x:c r="H168" s="21" t="str">
        <x:v>Shi et al. (2024)</x:v>
      </x:c>
      <x:c r="I168" s="21" t="str">
        <x:v>Experimental Demonstration of Integrated Optical Wireless Sensing and Communication</x:v>
      </x:c>
      <x:c r="J168" s="23" t="str">
        <x:v>2024</x:v>
      </x:c>
      <x:c r="K168" s="21" t="str">
        <x:v>Journal of Lightwave Technology</x:v>
      </x:c>
      <x:c r="L168" s="21" t="str">
        <x:v>10.1109/jlt.2024.3415417</x:v>
      </x:c>
      <x:c r="M168" s="21" t="str">
        <x:v>RPT-SCR-01029-01</x:v>
      </x:c>
      <x:c r="N168" s="23" t="str">
        <x:v>1</x:v>
      </x:c>
      <x:c r="O168" s="23" t="str">
        <x:v>0</x:v>
      </x:c>
      <x:c r="P168" s="21" t="str">
        <x:v>RPT-SCR-01029-01</x:v>
      </x:c>
      <x:c r="Q168" s="23" t="str">
        <x:v>1</x:v>
      </x:c>
      <x:c r="R168" s="23" t="str">
        <x:v>15</x:v>
      </x:c>
      <x:c r="S168" s="23" t="str">
        <x:v>21</x:v>
      </x:c>
      <x:c r="T168" s="23" t="str">
        <x:v>0</x:v>
      </x:c>
      <x:c r="U168" s="23" t="str">
        <x:v>0</x:v>
      </x:c>
      <x:c r="V168" s="21" t="str"/>
      <x:c r="W168" s="21" t="str">
        <x:v>governed_eligible</x:v>
      </x:c>
      <x:c r="X168" s="21" t="str">
        <x:v>FSO</x:v>
      </x:c>
      <x:c r="Y168" s="21" t="str">
        <x:v>shared_waveform; shared_hardware; joint_design_or_optimization</x:v>
      </x:c>
      <x:c r="Z168" s="21" t="str">
        <x:v>infrared_optical_wireless_downlink; continuous_receiver_plane_coverage; pre_FEC_data_delivery</x:v>
      </x:c>
      <x:c r="AA168" s="21" t="str">
        <x:v>two_dimensional_user_positioning; RSS_multilateration</x:v>
      </x:c>
      <x:c r="AB168" s="21" t="str">
        <x:v>5</x:v>
      </x:c>
      <x:c r="AC168" s="21" t="str">
        <x:v>laboratory_experiment; prototype_testbed</x:v>
      </x:c>
      <x:c r="AD168" s="21" t="str">
        <x:v>6G_access; indoor_positioning; environment_monitoring</x:v>
      </x:c>
      <x:c r="AE168" s="21" t="str">
        <x:v>direct</x:v>
      </x:c>
    </x:row>
    <x:row r="169" ht="42" customHeight="1">
      <x:c r="A169" s="21" t="str">
        <x:v>STC-SINGLETON-SCR-01030</x:v>
      </x:c>
      <x:c r="B169" s="21" t="str">
        <x:v>SCR-01030</x:v>
      </x:c>
      <x:c r="C169" s="21" t="str">
        <x:v>OISAC_SCR01030</x:v>
      </x:c>
      <x:c r="D169" s="21" t="str">
        <x:v>OISAC_SCR01030</x:v>
      </x:c>
      <x:c r="E169" s="21" t="str"/>
      <x:c r="F169" s="21" t="str">
        <x:v>OISAC_SCR01030</x:v>
      </x:c>
      <x:c r="G169" s="21" t="str">
        <x:v>\cite{OISAC_SCR01030}</x:v>
      </x:c>
      <x:c r="H169" s="21" t="str">
        <x:v>Wang et al. (2023)</x:v>
      </x:c>
      <x:c r="I169" s="21" t="str">
        <x:v>Joint Optimization of Slot Selection and Power Allocation in Integrated Visible Light Communication and Sensing Systems</x:v>
      </x:c>
      <x:c r="J169" s="23" t="str">
        <x:v>2023</x:v>
      </x:c>
      <x:c r="K169" s="21" t="str">
        <x:v>IEEE Internet of Things Journal</x:v>
      </x:c>
      <x:c r="L169" s="21" t="str">
        <x:v>10.1109/jiot.2023.3303137</x:v>
      </x:c>
      <x:c r="M169" s="21" t="str">
        <x:v>RPT-SCR-01030-01</x:v>
      </x:c>
      <x:c r="N169" s="23" t="str">
        <x:v>1</x:v>
      </x:c>
      <x:c r="O169" s="23" t="str">
        <x:v>0</x:v>
      </x:c>
      <x:c r="P169" s="21" t="str">
        <x:v>RPT-SCR-01030-01</x:v>
      </x:c>
      <x:c r="Q169" s="23" t="str">
        <x:v>1</x:v>
      </x:c>
      <x:c r="R169" s="23" t="str">
        <x:v>16</x:v>
      </x:c>
      <x:c r="S169" s="23" t="str">
        <x:v>15</x:v>
      </x:c>
      <x:c r="T169" s="23" t="str">
        <x:v>2</x:v>
      </x:c>
      <x:c r="U169" s="23" t="str">
        <x:v>0</x:v>
      </x:c>
      <x:c r="V169" s="21" t="str"/>
      <x:c r="W169" s="21" t="str">
        <x:v>governed_eligible</x:v>
      </x:c>
      <x:c r="X169" s="21" t="str">
        <x:v>VLC_LiFi</x:v>
      </x:c>
      <x:c r="Y169" s="21" t="str">
        <x:v>shared_hardware; shared_resource_allocation</x:v>
      </x:c>
      <x:c r="Z169" s="21" t="str">
        <x:v>multiuser_visible_light_downlink; communication_sum_rate_guarantee</x:v>
      </x:c>
      <x:c r="AA169" s="21" t="str">
        <x:v>active_user_reflection_sensing; ambient_light_intensity_variation_detection</x:v>
      </x:c>
      <x:c r="AB169" s="21" t="str">
        <x:v>3</x:v>
      </x:c>
      <x:c r="AC169" s="21" t="str">
        <x:v>analytical; simulation</x:v>
      </x:c>
      <x:c r="AD169" s="21" t="str">
        <x:v>6G_access; vehicular</x:v>
      </x:c>
      <x:c r="AE169" s="21" t="str">
        <x:v>direct</x:v>
      </x:c>
    </x:row>
    <x:row r="170" ht="42" customHeight="1">
      <x:c r="A170" s="21" t="str">
        <x:v>STC-SINGLETON-SCR-01032</x:v>
      </x:c>
      <x:c r="B170" s="21" t="str">
        <x:v>SCR-01032</x:v>
      </x:c>
      <x:c r="C170" s="21" t="str">
        <x:v>OISAC_SCR01032</x:v>
      </x:c>
      <x:c r="D170" s="21" t="str">
        <x:v>OISAC_SCR01032</x:v>
      </x:c>
      <x:c r="E170" s="21" t="str"/>
      <x:c r="F170" s="21" t="str">
        <x:v>OISAC_SCR01032</x:v>
      </x:c>
      <x:c r="G170" s="21" t="str">
        <x:v>\cite{OISAC_SCR01032}</x:v>
      </x:c>
      <x:c r="H170" s="21" t="str">
        <x:v>Chu et al. (2026)</x:v>
      </x:c>
      <x:c r="I170" s="21" t="str">
        <x:v>Flexible Hybrid Waveform Design for Optical Integrated Communication, Sensing, and Power Transfer Systems</x:v>
      </x:c>
      <x:c r="J170" s="23" t="str">
        <x:v>2026</x:v>
      </x:c>
      <x:c r="K170" s="21" t="str">
        <x:v>Journal of Lightwave Technology</x:v>
      </x:c>
      <x:c r="L170" s="21" t="str">
        <x:v>10.1109/jlt.2026.3665924</x:v>
      </x:c>
      <x:c r="M170" s="21" t="str">
        <x:v>RPT-SCR-01032-01</x:v>
      </x:c>
      <x:c r="N170" s="23" t="str">
        <x:v>1</x:v>
      </x:c>
      <x:c r="O170" s="23" t="str">
        <x:v>0</x:v>
      </x:c>
      <x:c r="P170" s="21" t="str">
        <x:v>RPT-SCR-01032-01</x:v>
      </x:c>
      <x:c r="Q170" s="23" t="str">
        <x:v>1</x:v>
      </x:c>
      <x:c r="R170" s="23" t="str">
        <x:v>15</x:v>
      </x:c>
      <x:c r="S170" s="23" t="str">
        <x:v>17</x:v>
      </x:c>
      <x:c r="T170" s="23" t="str">
        <x:v>3</x:v>
      </x:c>
      <x:c r="U170" s="23" t="str">
        <x:v>0</x:v>
      </x:c>
      <x:c r="V170" s="21" t="str"/>
      <x:c r="W170" s="21" t="str">
        <x:v>governed_eligible</x:v>
      </x:c>
      <x:c r="X170" s="21" t="str">
        <x:v>FSO</x:v>
      </x:c>
      <x:c r="Y170" s="21" t="str">
        <x:v>shared_hardware; shared_link_or_channel; shared_resource_allocation</x:v>
      </x:c>
      <x:c r="Z170" s="21" t="str">
        <x:v>high_speed_optical_downlink; OFDM_data_recovery; BER_evaluation</x:v>
      </x:c>
      <x:c r="AA170" s="21" t="str">
        <x:v>one_dimensional_distance_ranging; time_of_flight_estimation</x:v>
      </x:c>
      <x:c r="AB170" s="21" t="str">
        <x:v>5</x:v>
      </x:c>
      <x:c r="AC170" s="21" t="str">
        <x:v>analytical; simulation; laboratory_experiment; prototype_testbed</x:v>
      </x:c>
      <x:c r="AD170" s="21" t="str">
        <x:v>6G_access; industrial</x:v>
      </x:c>
      <x:c r="AE170" s="21" t="str">
        <x:v>direct</x:v>
      </x:c>
    </x:row>
    <x:row r="171" ht="42" customHeight="1">
      <x:c r="A171" s="21" t="str">
        <x:v>STC-SINGLETON-SCR-01033</x:v>
      </x:c>
      <x:c r="B171" s="21" t="str">
        <x:v>SCR-01033</x:v>
      </x:c>
      <x:c r="C171" s="21" t="str">
        <x:v>OISAC_SCR01033</x:v>
      </x:c>
      <x:c r="D171" s="21" t="str">
        <x:v>OISAC_SCR01033</x:v>
      </x:c>
      <x:c r="E171" s="21" t="str"/>
      <x:c r="F171" s="21" t="str">
        <x:v>OISAC_SCR01033</x:v>
      </x:c>
      <x:c r="G171" s="21" t="str">
        <x:v>\cite{OISAC_SCR01033}</x:v>
      </x:c>
      <x:c r="H171" s="21" t="str">
        <x:v>Liu et al. (2025)</x:v>
      </x:c>
      <x:c r="I171" s="21" t="str">
        <x:v>Integrated PC-FMCW Automotive Headlamp for Communication, Sensing, and Illumination</x:v>
      </x:c>
      <x:c r="J171" s="23" t="str">
        <x:v>2025</x:v>
      </x:c>
      <x:c r="K171" s="21" t="str">
        <x:v>2025 Asia Communications and Photonics Conference (ACP)</x:v>
      </x:c>
      <x:c r="L171" s="21" t="str">
        <x:v>10.1109/acp66871.2025.11350025</x:v>
      </x:c>
      <x:c r="M171" s="21" t="str">
        <x:v>RPT-SCR-01033-01</x:v>
      </x:c>
      <x:c r="N171" s="23" t="str">
        <x:v>1</x:v>
      </x:c>
      <x:c r="O171" s="23" t="str">
        <x:v>0</x:v>
      </x:c>
      <x:c r="P171" s="21" t="str">
        <x:v>RPT-SCR-01033-01</x:v>
      </x:c>
      <x:c r="Q171" s="23" t="str">
        <x:v>1</x:v>
      </x:c>
      <x:c r="R171" s="23" t="str">
        <x:v>12</x:v>
      </x:c>
      <x:c r="S171" s="23" t="str">
        <x:v>16</x:v>
      </x:c>
      <x:c r="T171" s="23" t="str">
        <x:v>2</x:v>
      </x:c>
      <x:c r="U171" s="23" t="str">
        <x:v>0</x:v>
      </x:c>
      <x:c r="V171" s="21" t="str"/>
      <x:c r="W171" s="21" t="str">
        <x:v>governed_eligible</x:v>
      </x:c>
      <x:c r="X171" s="21" t="str">
        <x:v>VLC_LiFi</x:v>
      </x:c>
      <x:c r="Y171" s="21" t="str">
        <x:v>shared_hardware; shared_application_scenario</x:v>
      </x:c>
      <x:c r="Z171" s="21" t="str">
        <x:v>forward_vehicle_visible_light_communication</x:v>
      </x:c>
      <x:c r="AA171" s="21" t="str">
        <x:v>target_range; radial_velocity; vehicle_azimuth_fusion; ADB_target_tracking</x:v>
      </x:c>
      <x:c r="AB171" s="21" t="str">
        <x:v>2</x:v>
      </x:c>
      <x:c r="AC171" s="21" t="str">
        <x:v>analytical; simulation</x:v>
      </x:c>
      <x:c r="AD171" s="21" t="str">
        <x:v>vehicular</x:v>
      </x:c>
      <x:c r="AE171" s="21" t="str">
        <x:v>inferred</x:v>
      </x:c>
    </x:row>
    <x:row r="172" ht="42" customHeight="1">
      <x:c r="A172" s="21" t="str">
        <x:v>STC-SINGLETON-SCR-01034</x:v>
      </x:c>
      <x:c r="B172" s="21" t="str">
        <x:v>SCR-01034</x:v>
      </x:c>
      <x:c r="C172" s="21" t="str">
        <x:v>OISAC_SCR01034</x:v>
      </x:c>
      <x:c r="D172" s="21" t="str">
        <x:v>OISAC_SCR01034</x:v>
      </x:c>
      <x:c r="E172" s="21" t="str"/>
      <x:c r="F172" s="21" t="str">
        <x:v>OISAC_SCR01034</x:v>
      </x:c>
      <x:c r="G172" s="21" t="str">
        <x:v>\cite{OISAC_SCR01034}</x:v>
      </x:c>
      <x:c r="H172" s="21" t="str">
        <x:v>Song et al. (2024)</x:v>
      </x:c>
      <x:c r="I172" s="21" t="str">
        <x:v>VehicleTalk: Lightweight V2V Network Enabled by Optical Wireless Communication and Sensing</x:v>
      </x:c>
      <x:c r="J172" s="23" t="str">
        <x:v>2024</x:v>
      </x:c>
      <x:c r="K172" s="21" t="str">
        <x:v>2024 IEEE 99th Vehicular Technology Conference (VTC2024-Spring)</x:v>
      </x:c>
      <x:c r="L172" s="21" t="str">
        <x:v>10.1109/vtc2024-spring62846.2024.10683127</x:v>
      </x:c>
      <x:c r="M172" s="21" t="str">
        <x:v>RPT-SCR-01034-01</x:v>
      </x:c>
      <x:c r="N172" s="23" t="str">
        <x:v>1</x:v>
      </x:c>
      <x:c r="O172" s="23" t="str">
        <x:v>0</x:v>
      </x:c>
      <x:c r="P172" s="21" t="str">
        <x:v>RPT-SCR-01034-01</x:v>
      </x:c>
      <x:c r="Q172" s="23" t="str">
        <x:v>1</x:v>
      </x:c>
      <x:c r="R172" s="23" t="str">
        <x:v>13</x:v>
      </x:c>
      <x:c r="S172" s="23" t="str">
        <x:v>24</x:v>
      </x:c>
      <x:c r="T172" s="23" t="str">
        <x:v>2</x:v>
      </x:c>
      <x:c r="U172" s="23" t="str">
        <x:v>0</x:v>
      </x:c>
      <x:c r="V172" s="21" t="str"/>
      <x:c r="W172" s="21" t="str">
        <x:v>governed_eligible</x:v>
      </x:c>
      <x:c r="X172" s="21" t="str">
        <x:v>VLC_LiFi</x:v>
      </x:c>
      <x:c r="Y172" s="21" t="str">
        <x:v>shared_waveform; shared_hardware; shared_application_scenario</x:v>
      </x:c>
      <x:c r="Z172" s="21" t="str">
        <x:v>full_duplex_V2V_message_exchange; packet_loss_recovery</x:v>
      </x:c>
      <x:c r="AA172" s="21" t="str">
        <x:v>inter_vehicle_distance; emergency_braking_detection; turning_detection; cutting_in_detection</x:v>
      </x:c>
      <x:c r="AB172" s="21" t="str">
        <x:v>5</x:v>
      </x:c>
      <x:c r="AC172" s="21" t="str">
        <x:v>analytical; laboratory_experiment; prototype_testbed</x:v>
      </x:c>
      <x:c r="AD172" s="21" t="str">
        <x:v>vehicular</x:v>
      </x:c>
      <x:c r="AE172" s="21" t="str">
        <x:v>direct</x:v>
      </x:c>
    </x:row>
    <x:row r="173" ht="42" customHeight="1">
      <x:c r="A173" s="21" t="str">
        <x:v>STC-SINGLETON-SCR-01036</x:v>
      </x:c>
      <x:c r="B173" s="21" t="str">
        <x:v>SCR-01036</x:v>
      </x:c>
      <x:c r="C173" s="21" t="str">
        <x:v>OISAC_SCR01036</x:v>
      </x:c>
      <x:c r="D173" s="21" t="str">
        <x:v>OISAC_SCR01036</x:v>
      </x:c>
      <x:c r="E173" s="21" t="str"/>
      <x:c r="F173" s="21" t="str">
        <x:v>OISAC_SCR01036</x:v>
      </x:c>
      <x:c r="G173" s="21" t="str">
        <x:v>\cite{OISAC_SCR01036}</x:v>
      </x:c>
      <x:c r="H173" s="21" t="str">
        <x:v>Liu et al. (2025)</x:v>
      </x:c>
      <x:c r="I173" s="21" t="str">
        <x:v>ReflexGest: Recognizing Hand Gestures Under VLC-Capable Lamps</x:v>
      </x:c>
      <x:c r="J173" s="23" t="str">
        <x:v>2025</x:v>
      </x:c>
      <x:c r="K173" s="21" t="str">
        <x:v>IEEE Transactions on Mobile Computing</x:v>
      </x:c>
      <x:c r="L173" s="21" t="str">
        <x:v>10.1109/tmc.2025.3545340</x:v>
      </x:c>
      <x:c r="M173" s="21" t="str">
        <x:v>RPT-SCR-01036-01</x:v>
      </x:c>
      <x:c r="N173" s="23" t="str">
        <x:v>1</x:v>
      </x:c>
      <x:c r="O173" s="23" t="str">
        <x:v>0</x:v>
      </x:c>
      <x:c r="P173" s="21" t="str">
        <x:v>RPT-SCR-01036-01</x:v>
      </x:c>
      <x:c r="Q173" s="23" t="str">
        <x:v>1</x:v>
      </x:c>
      <x:c r="R173" s="23" t="str">
        <x:v>15</x:v>
      </x:c>
      <x:c r="S173" s="23" t="str">
        <x:v>36</x:v>
      </x:c>
      <x:c r="T173" s="23" t="str">
        <x:v>3</x:v>
      </x:c>
      <x:c r="U173" s="23" t="str">
        <x:v>0</x:v>
      </x:c>
      <x:c r="V173" s="21" t="str"/>
      <x:c r="W173" s="21" t="str">
        <x:v>governed_eligible</x:v>
      </x:c>
      <x:c r="X173" s="21" t="str">
        <x:v>VLC_LiFi</x:v>
      </x:c>
      <x:c r="Y173" s="21" t="str">
        <x:v>shared_hardware</x:v>
      </x:c>
      <x:c r="Z173" s="21" t="str">
        <x:v>bidirectional_VLC; LiFi_IoT_monitoring_link</x:v>
      </x:c>
      <x:c r="AA173" s="21" t="str">
        <x:v>device_free_hand_gesture_recognition; cross_scene_HGR</x:v>
      </x:c>
      <x:c r="AB173" s="21" t="str">
        <x:v>5</x:v>
      </x:c>
      <x:c r="AC173" s="21" t="str">
        <x:v>analytical; laboratory_experiment; prototype_testbed</x:v>
      </x:c>
      <x:c r="AD173" s="21" t="str">
        <x:v>smart_infrastructure</x:v>
      </x:c>
      <x:c r="AE173" s="21" t="str">
        <x:v>direct</x:v>
      </x:c>
    </x:row>
    <x:row r="174" ht="42" customHeight="1">
      <x:c r="A174" s="21" t="str">
        <x:v>STC-SINGLETON-SCR-01040</x:v>
      </x:c>
      <x:c r="B174" s="21" t="str">
        <x:v>SCR-01040</x:v>
      </x:c>
      <x:c r="C174" s="21" t="str">
        <x:v>OISAC_SCR01040</x:v>
      </x:c>
      <x:c r="D174" s="21" t="str">
        <x:v>OISAC_SCR01040</x:v>
      </x:c>
      <x:c r="E174" s="21" t="str"/>
      <x:c r="F174" s="21" t="str">
        <x:v>OISAC_SCR01040</x:v>
      </x:c>
      <x:c r="G174" s="21" t="str">
        <x:v>\cite{OISAC_SCR01040}</x:v>
      </x:c>
      <x:c r="H174" s="21" t="str">
        <x:v>Xie et al. (2026)</x:v>
      </x:c>
      <x:c r="I174" s="21" t="str">
        <x:v>A Novel Comb Based Multi-Function Architecture for ISAC System</x:v>
      </x:c>
      <x:c r="J174" s="23" t="str">
        <x:v>2026</x:v>
      </x:c>
      <x:c r="K174" s="21" t="str">
        <x:v>Journal of Lightwave Technology</x:v>
      </x:c>
      <x:c r="L174" s="21" t="str">
        <x:v>10.1109/jlt.2026.3654105</x:v>
      </x:c>
      <x:c r="M174" s="21" t="str">
        <x:v>RPT-SCR-01040-01</x:v>
      </x:c>
      <x:c r="N174" s="23" t="str">
        <x:v>1</x:v>
      </x:c>
      <x:c r="O174" s="23" t="str">
        <x:v>0</x:v>
      </x:c>
      <x:c r="P174" s="21" t="str">
        <x:v>RPT-SCR-01040-01</x:v>
      </x:c>
      <x:c r="Q174" s="23" t="str">
        <x:v>1</x:v>
      </x:c>
      <x:c r="R174" s="23" t="str">
        <x:v>14</x:v>
      </x:c>
      <x:c r="S174" s="23" t="str">
        <x:v>36</x:v>
      </x:c>
      <x:c r="T174" s="23" t="str">
        <x:v>3</x:v>
      </x:c>
      <x:c r="U174" s="23" t="str">
        <x:v>0</x:v>
      </x:c>
      <x:c r="V174" s="21" t="str"/>
      <x:c r="W174" s="21" t="str">
        <x:v>governed_eligible</x:v>
      </x:c>
      <x:c r="X174" s="21" t="str">
        <x:v>photonic_THz</x:v>
      </x:c>
      <x:c r="Y174" s="21" t="str">
        <x:v>shared_link_or_channel</x:v>
      </x:c>
      <x:c r="Z174" s="21" t="str">
        <x:v>analog_RF_over_fiber_transport; ultrawideband_RF_downconversion; OFDM_symbol_recovery</x:v>
      </x:c>
      <x:c r="AA174" s="21" t="str">
        <x:v>optical_link_delay_monitoring; time_synchronization_support</x:v>
      </x:c>
      <x:c r="AB174" s="21" t="str">
        <x:v>4</x:v>
      </x:c>
      <x:c r="AC174" s="21" t="str">
        <x:v>analytical; simulation; laboratory_experiment</x:v>
      </x:c>
      <x:c r="AD174" s="21" t="str">
        <x:v>6G_access; indoor_positioning; environment_monitoring</x:v>
      </x:c>
      <x:c r="AE174" s="21" t="str">
        <x:v>direct</x:v>
      </x:c>
    </x:row>
    <x:row r="175" ht="42" customHeight="1">
      <x:c r="A175" s="21" t="str">
        <x:v>STC-SINGLETON-SCR-01041</x:v>
      </x:c>
      <x:c r="B175" s="21" t="str">
        <x:v>SCR-01041</x:v>
      </x:c>
      <x:c r="C175" s="21" t="str">
        <x:v>OISAC_SCR01041</x:v>
      </x:c>
      <x:c r="D175" s="21" t="str">
        <x:v>OISAC_SCR01041</x:v>
      </x:c>
      <x:c r="E175" s="21" t="str"/>
      <x:c r="F175" s="21" t="str">
        <x:v>OISAC_SCR01041</x:v>
      </x:c>
      <x:c r="G175" s="21" t="str">
        <x:v>\cite{OISAC_SCR01041}</x:v>
      </x:c>
      <x:c r="H175" s="21" t="str">
        <x:v>Wang et al. (2024)</x:v>
      </x:c>
      <x:c r="I175" s="21" t="str">
        <x:v>Photonics-based Terahertz Integrated Communication and Localization for D-band</x:v>
      </x:c>
      <x:c r="J175" s="23" t="str">
        <x:v>2024</x:v>
      </x:c>
      <x:c r="K175" s="21" t="str">
        <x:v>2024 49th International Conference on Infrared, Millimeter, and Terahertz Waves (IRMMW-THz)</x:v>
      </x:c>
      <x:c r="L175" s="21" t="str">
        <x:v>10.1109/irmmw-thz60956.2024.10697696</x:v>
      </x:c>
      <x:c r="M175" s="21" t="str">
        <x:v>RPT-SCR-01041-01</x:v>
      </x:c>
      <x:c r="N175" s="23" t="str">
        <x:v>1</x:v>
      </x:c>
      <x:c r="O175" s="23" t="str">
        <x:v>0</x:v>
      </x:c>
      <x:c r="P175" s="21" t="str">
        <x:v>RPT-SCR-01041-01</x:v>
      </x:c>
      <x:c r="Q175" s="23" t="str">
        <x:v>1</x:v>
      </x:c>
      <x:c r="R175" s="23" t="str">
        <x:v>10</x:v>
      </x:c>
      <x:c r="S175" s="23" t="str">
        <x:v>17</x:v>
      </x:c>
      <x:c r="T175" s="23" t="str">
        <x:v>3</x:v>
      </x:c>
      <x:c r="U175" s="23" t="str">
        <x:v>0</x:v>
      </x:c>
      <x:c r="V175" s="21" t="str"/>
      <x:c r="W175" s="21" t="str">
        <x:v>governed_eligible</x:v>
      </x:c>
      <x:c r="X175" s="21" t="str">
        <x:v>photonic_THz</x:v>
      </x:c>
      <x:c r="Y175" s="21" t="str">
        <x:v>shared_waveform; shared_hardware</x:v>
      </x:c>
      <x:c r="Z175" s="21" t="str">
        <x:v>5_Gbit_per_s_ASK_PRBS; BER_vs_110_180_GHz; 1.2_and_1.5_m_wireless_link</x:v>
      </x:c>
      <x:c r="AA175" s="21" t="str">
        <x:v>metal_plate_range_localization; time_of_flight_distance_estimation; system_delay_calibration</x:v>
      </x:c>
      <x:c r="AB175" s="21" t="str">
        <x:v>4</x:v>
      </x:c>
      <x:c r="AC175" s="21" t="str">
        <x:v>laboratory_experiment</x:v>
      </x:c>
      <x:c r="AD175" s="21" t="str">
        <x:v>indoor_positioning; industrial</x:v>
      </x:c>
      <x:c r="AE175" s="21" t="str">
        <x:v>direct</x:v>
      </x:c>
    </x:row>
    <x:row r="176" ht="42" customHeight="1">
      <x:c r="A176" s="21" t="str">
        <x:v>STC-SINGLETON-SCR-01045</x:v>
      </x:c>
      <x:c r="B176" s="21" t="str">
        <x:v>SCR-01045</x:v>
      </x:c>
      <x:c r="C176" s="21" t="str">
        <x:v>OISAC_SCR01045</x:v>
      </x:c>
      <x:c r="D176" s="21" t="str">
        <x:v>OISAC_SCR01045</x:v>
      </x:c>
      <x:c r="E176" s="21" t="str"/>
      <x:c r="F176" s="21" t="str">
        <x:v>OISAC_SCR01045</x:v>
      </x:c>
      <x:c r="G176" s="21" t="str">
        <x:v>\cite{OISAC_SCR01045}</x:v>
      </x:c>
      <x:c r="H176" s="21" t="str">
        <x:v>Salhi et al. (2026)</x:v>
      </x:c>
      <x:c r="I176" s="21" t="str">
        <x:v>Secure Multi-Tenant Distributed Sensing for ISAC-Over-Fiber (IOSAC) Networks</x:v>
      </x:c>
      <x:c r="J176" s="23" t="str">
        <x:v>2026</x:v>
      </x:c>
      <x:c r="K176" s="21" t="str">
        <x:v>IEEE Access</x:v>
      </x:c>
      <x:c r="L176" s="21" t="str">
        <x:v>10.1109/access.2026.3680456</x:v>
      </x:c>
      <x:c r="M176" s="21" t="str">
        <x:v>RPT-SCR-01045-01</x:v>
      </x:c>
      <x:c r="N176" s="23" t="str">
        <x:v>1</x:v>
      </x:c>
      <x:c r="O176" s="23" t="str">
        <x:v>0</x:v>
      </x:c>
      <x:c r="P176" s="21" t="str">
        <x:v>RPT-SCR-01045-01</x:v>
      </x:c>
      <x:c r="Q176" s="23" t="str">
        <x:v>1</x:v>
      </x:c>
      <x:c r="R176" s="23" t="str">
        <x:v>14</x:v>
      </x:c>
      <x:c r="S176" s="23" t="str">
        <x:v>49</x:v>
      </x:c>
      <x:c r="T176" s="23" t="str">
        <x:v>4</x:v>
      </x:c>
      <x:c r="U176" s="23" t="str">
        <x:v>0</x:v>
      </x:c>
      <x:c r="V176" s="21" t="str"/>
      <x:c r="W176" s="21" t="str">
        <x:v>governed_eligible</x:v>
      </x:c>
      <x:c r="X176" s="21" t="str">
        <x:v>fiber</x:v>
      </x:c>
      <x:c r="Y176" s="21" t="str">
        <x:v>shared_resource_allocation; shared_application_scenario</x:v>
      </x:c>
      <x:c r="Z176" s="21" t="str">
        <x:v>shared_fiber_data_transport_is_architectural_context_only; no_BER_rate_or_payload_quality_result</x:v>
      </x:c>
      <x:c r="AA176" s="21" t="str">
        <x:v>DAS_event_detection; DAS_localization; DAS_quiet_state_stability; FBG_peak_detection; FBG_Bragg_shift_estimation; sensing_trace_confidentiality</x:v>
      </x:c>
      <x:c r="AB176" s="21" t="str">
        <x:v>3</x:v>
      </x:c>
      <x:c r="AC176" s="21" t="str">
        <x:v>simulation</x:v>
      </x:c>
      <x:c r="AD176" s="21" t="str">
        <x:v>security</x:v>
      </x:c>
      <x:c r="AE176" s="21" t="str">
        <x:v>direct</x:v>
      </x:c>
    </x:row>
    <x:row r="177" ht="42" customHeight="1">
      <x:c r="A177" s="21" t="str">
        <x:v>STC-SINGLETON-SCR-01047</x:v>
      </x:c>
      <x:c r="B177" s="21" t="str">
        <x:v>SCR-01047</x:v>
      </x:c>
      <x:c r="C177" s="21" t="str">
        <x:v>OISAC_SCR01047</x:v>
      </x:c>
      <x:c r="D177" s="21" t="str">
        <x:v>OISAC_SCR01047</x:v>
      </x:c>
      <x:c r="E177" s="21" t="str"/>
      <x:c r="F177" s="21" t="str">
        <x:v>OISAC_SCR01047</x:v>
      </x:c>
      <x:c r="G177" s="21" t="str">
        <x:v>\cite{OISAC_SCR01047}</x:v>
      </x:c>
      <x:c r="H177" s="21" t="str">
        <x:v>Li et al. (2024)</x:v>
      </x:c>
      <x:c r="I177" s="21" t="str">
        <x:v>Indoor Health Monitoring with VLC-based Passive Posture Monitoring</x:v>
      </x:c>
      <x:c r="J177" s="23" t="str">
        <x:v>2024</x:v>
      </x:c>
      <x:c r="K177" s="21" t="str">
        <x:v>2024 Photonics &amp; Electromagnetics Research Symposium (PIERS)</x:v>
      </x:c>
      <x:c r="L177" s="21" t="str">
        <x:v>10.1109/piers62282.2024.10618552</x:v>
      </x:c>
      <x:c r="M177" s="21" t="str">
        <x:v>RPT-SCR-01047-01</x:v>
      </x:c>
      <x:c r="N177" s="23" t="str">
        <x:v>1</x:v>
      </x:c>
      <x:c r="O177" s="23" t="str">
        <x:v>0</x:v>
      </x:c>
      <x:c r="P177" s="21" t="str">
        <x:v>RPT-SCR-01047-01</x:v>
      </x:c>
      <x:c r="Q177" s="23" t="str">
        <x:v>1</x:v>
      </x:c>
      <x:c r="R177" s="23" t="str">
        <x:v>16</x:v>
      </x:c>
      <x:c r="S177" s="23" t="str">
        <x:v>18</x:v>
      </x:c>
      <x:c r="T177" s="23" t="str">
        <x:v>2</x:v>
      </x:c>
      <x:c r="U177" s="23" t="str">
        <x:v>0</x:v>
      </x:c>
      <x:c r="V177" s="21" t="str"/>
      <x:c r="W177" s="21" t="str">
        <x:v>governed_eligible</x:v>
      </x:c>
      <x:c r="X177" s="21" t="str">
        <x:v>VLC_LiFi</x:v>
      </x:c>
      <x:c r="Y177" s="21" t="str">
        <x:v>shared_waveform</x:v>
      </x:c>
      <x:c r="Z177" s="21" t="str">
        <x:v>OOK_VLC_capability; Manchester_coding; IP_interoperability; WiFi_or_Bluetooth_sensor_result_upload; smartphone_GUI</x:v>
      </x:c>
      <x:c r="AA177" s="21" t="str">
        <x:v>passive_posture_classification; activity_recognition; walking_detection; standing_detection; head_nod_detection; phone_use_detection; lean_direction_detection</x:v>
      </x:c>
      <x:c r="AB177" s="21" t="str">
        <x:v>4</x:v>
      </x:c>
      <x:c r="AC177" s="21" t="str">
        <x:v>analytical; dataset_based; laboratory_experiment</x:v>
      </x:c>
      <x:c r="AD177" s="21" t="str">
        <x:v>environment_monitoring; healthcare</x:v>
      </x:c>
      <x:c r="AE177" s="21" t="str">
        <x:v>direct</x:v>
      </x:c>
    </x:row>
    <x:row r="178" ht="42" customHeight="1">
      <x:c r="A178" s="21" t="str">
        <x:v>STC-SINGLETON-SCR-01049</x:v>
      </x:c>
      <x:c r="B178" s="21" t="str">
        <x:v>SCR-01049</x:v>
      </x:c>
      <x:c r="C178" s="21" t="str">
        <x:v>OISAC_SCR01049</x:v>
      </x:c>
      <x:c r="D178" s="21" t="str">
        <x:v>OISAC_SCR01049</x:v>
      </x:c>
      <x:c r="E178" s="21" t="str"/>
      <x:c r="F178" s="21" t="str">
        <x:v>OISAC_SCR01049</x:v>
      </x:c>
      <x:c r="G178" s="21" t="str">
        <x:v>\cite{OISAC_SCR01049}</x:v>
      </x:c>
      <x:c r="H178" s="21" t="str">
        <x:v>Tzanakaki et al. (2025)</x:v>
      </x:c>
      <x:c r="I178" s="21" t="str">
        <x:v>Optical Transport Networks Supporting Integrated Communications and Sensing in 6G</x:v>
      </x:c>
      <x:c r="J178" s="23" t="str">
        <x:v>2025</x:v>
      </x:c>
      <x:c r="K178" s="21" t="str">
        <x:v>2025 European Conference on Optical Communications (ECOC)</x:v>
      </x:c>
      <x:c r="L178" s="21" t="str">
        <x:v>10.1109/ecoc66593.2025.11263441</x:v>
      </x:c>
      <x:c r="M178" s="21" t="str">
        <x:v>RPT-SCR-01049-01</x:v>
      </x:c>
      <x:c r="N178" s="23" t="str">
        <x:v>1</x:v>
      </x:c>
      <x:c r="O178" s="23" t="str">
        <x:v>0</x:v>
      </x:c>
      <x:c r="P178" s="21" t="str">
        <x:v>RPT-SCR-01049-01</x:v>
      </x:c>
      <x:c r="Q178" s="23" t="str">
        <x:v>1</x:v>
      </x:c>
      <x:c r="R178" s="23" t="str">
        <x:v>16</x:v>
      </x:c>
      <x:c r="S178" s="23" t="str">
        <x:v>12</x:v>
      </x:c>
      <x:c r="T178" s="23" t="str">
        <x:v>3</x:v>
      </x:c>
      <x:c r="U178" s="23" t="str">
        <x:v>0</x:v>
      </x:c>
      <x:c r="V178" s="21" t="str"/>
      <x:c r="W178" s="21" t="str">
        <x:v>governed_eligible</x:v>
      </x:c>
      <x:c r="X178" s="21" t="str">
        <x:v>fiber</x:v>
      </x:c>
      <x:c r="Y178" s="21" t="str">
        <x:v>shared_waveform; shared_resource_allocation; shared_application_scenario</x:v>
      </x:c>
      <x:c r="Z178" s="21" t="str">
        <x:v>5G_RAN_connectivity; MIMO_OFDM_UE_transport; eCPRI_fronthaul; DU_CU_processing; edge_and_central_cloud_connectivity</x:v>
      </x:c>
      <x:c r="AA178" s="21" t="str">
        <x:v>moving_target_detection; Doppler_velocity_estimation; range_resolution; multi_RU_target_disambiguation</x:v>
      </x:c>
      <x:c r="AB178" s="21" t="str">
        <x:v>3</x:v>
      </x:c>
      <x:c r="AC178" s="21" t="str">
        <x:v>analytical; numerical_analysis; prototype_testbed</x:v>
      </x:c>
      <x:c r="AD178" s="21" t="str">
        <x:v>6G_access; optical_access_network</x:v>
      </x:c>
      <x:c r="AE178" s="21" t="str">
        <x:v>direct</x:v>
      </x:c>
    </x:row>
    <x:row r="179" ht="42" customHeight="1">
      <x:c r="A179" s="21" t="str">
        <x:v>STC-SINGLETON-SCR-01050</x:v>
      </x:c>
      <x:c r="B179" s="21" t="str">
        <x:v>SCR-01050</x:v>
      </x:c>
      <x:c r="C179" s="21" t="str">
        <x:v>OISAC_SCR01050</x:v>
      </x:c>
      <x:c r="D179" s="21" t="str">
        <x:v>OISAC_SCR01050</x:v>
      </x:c>
      <x:c r="E179" s="21" t="str"/>
      <x:c r="F179" s="21" t="str">
        <x:v>OISAC_SCR01050</x:v>
      </x:c>
      <x:c r="G179" s="21" t="str">
        <x:v>\cite{OISAC_SCR01050}</x:v>
      </x:c>
      <x:c r="H179" s="21" t="str">
        <x:v>Xiong et al. (2026)</x:v>
      </x:c>
      <x:c r="I179" s="21" t="str">
        <x:v>Hybrid MRR-Assisted Long-Range SDMA for RO-ISAC Systems in Industry IoT Applications</x:v>
      </x:c>
      <x:c r="J179" s="23" t="str">
        <x:v>2026</x:v>
      </x:c>
      <x:c r="K179" s="21" t="str">
        <x:v>Journal of Lightwave Technology</x:v>
      </x:c>
      <x:c r="L179" s="21" t="str">
        <x:v>10.1109/jlt.2025.3642277</x:v>
      </x:c>
      <x:c r="M179" s="21" t="str">
        <x:v>RPT-SCR-01050-01</x:v>
      </x:c>
      <x:c r="N179" s="23" t="str">
        <x:v>1</x:v>
      </x:c>
      <x:c r="O179" s="23" t="str">
        <x:v>0</x:v>
      </x:c>
      <x:c r="P179" s="21" t="str">
        <x:v>RPT-SCR-01050-01</x:v>
      </x:c>
      <x:c r="Q179" s="23" t="str">
        <x:v>1</x:v>
      </x:c>
      <x:c r="R179" s="23" t="str">
        <x:v>16</x:v>
      </x:c>
      <x:c r="S179" s="23" t="str">
        <x:v>16</x:v>
      </x:c>
      <x:c r="T179" s="23" t="str">
        <x:v>2</x:v>
      </x:c>
      <x:c r="U179" s="23" t="str">
        <x:v>0</x:v>
      </x:c>
      <x:c r="V179" s="21" t="str"/>
      <x:c r="W179" s="21" t="str">
        <x:v>governed_eligible</x:v>
      </x:c>
      <x:c r="X179" s="21" t="str">
        <x:v>FSO</x:v>
      </x:c>
      <x:c r="Y179" s="21" t="str">
        <x:v>shared_resource_allocation</x:v>
      </x:c>
      <x:c r="Z179" s="21" t="str">
        <x:v>passive_uplink_tag_ID; concurrent_multi_tag_access; downlink_OFDMA_capable_waveform</x:v>
      </x:c>
      <x:c r="AA179" s="21" t="str">
        <x:v>one_dimensional_ToF_ranging; correlation_region_classification; amplitude_fingerprint_fine_ranging</x:v>
      </x:c>
      <x:c r="AB179" s="21" t="str">
        <x:v>4</x:v>
      </x:c>
      <x:c r="AC179" s="21" t="str">
        <x:v>simulation; prototype_testbed</x:v>
      </x:c>
      <x:c r="AD179" s="21" t="str">
        <x:v>6G_access; indoor_positioning; industrial</x:v>
      </x:c>
      <x:c r="AE179" s="21" t="str">
        <x:v>direct</x:v>
      </x:c>
    </x:row>
    <x:row r="180" ht="42" customHeight="1">
      <x:c r="A180" s="21" t="str">
        <x:v>STC-SINGLETON-SCR-01059</x:v>
      </x:c>
      <x:c r="B180" s="21" t="str">
        <x:v>SCR-01059</x:v>
      </x:c>
      <x:c r="C180" s="21" t="str">
        <x:v>OISAC_SCR01059</x:v>
      </x:c>
      <x:c r="D180" s="21" t="str">
        <x:v>OISAC_SCR01059</x:v>
      </x:c>
      <x:c r="E180" s="21" t="str"/>
      <x:c r="F180" s="21" t="str">
        <x:v>OISAC_SCR01059</x:v>
      </x:c>
      <x:c r="G180" s="21" t="str">
        <x:v>\cite{OISAC_SCR01059}</x:v>
      </x:c>
      <x:c r="H180" s="21" t="str">
        <x:v>Yang et al. (2025)</x:v>
      </x:c>
      <x:c r="I180" s="21" t="str">
        <x:v>Joint Task Offloading and Resource Allocation for Integrated VLC and Sensing in Digital Twin-Aided Vehicular Edge Computing Networks</x:v>
      </x:c>
      <x:c r="J180" s="23" t="str">
        <x:v>2025</x:v>
      </x:c>
      <x:c r="K180" s="21" t="str">
        <x:v>IEEE Transactions on Vehicular Technology</x:v>
      </x:c>
      <x:c r="L180" s="21" t="str">
        <x:v>10.1109/tvt.2024.3505857</x:v>
      </x:c>
      <x:c r="M180" s="21" t="str">
        <x:v>RPT-SCR-01059-01</x:v>
      </x:c>
      <x:c r="N180" s="23" t="str">
        <x:v>1</x:v>
      </x:c>
      <x:c r="O180" s="23" t="str">
        <x:v>0</x:v>
      </x:c>
      <x:c r="P180" s="21" t="str">
        <x:v>RPT-SCR-01059-01</x:v>
      </x:c>
      <x:c r="Q180" s="23" t="str">
        <x:v>1</x:v>
      </x:c>
      <x:c r="R180" s="23" t="str">
        <x:v>15</x:v>
      </x:c>
      <x:c r="S180" s="23" t="str">
        <x:v>18</x:v>
      </x:c>
      <x:c r="T180" s="23" t="str">
        <x:v>2</x:v>
      </x:c>
      <x:c r="U180" s="23" t="str">
        <x:v>0</x:v>
      </x:c>
      <x:c r="V180" s="21" t="str"/>
      <x:c r="W180" s="21" t="str">
        <x:v>governed_eligible</x:v>
      </x:c>
      <x:c r="X180" s="21" t="str">
        <x:v>VLC_LiFi</x:v>
      </x:c>
      <x:c r="Y180" s="21" t="str">
        <x:v>shared_resource_allocation; joint_design_or_optimization; shared_application_scenario</x:v>
      </x:c>
      <x:c r="Z180" s="21" t="str">
        <x:v>vehicle_to_streetlamp_VLC; communication_task_offloading; wired_fronthaul_to_edge_server</x:v>
      </x:c>
      <x:c r="AA180" s="21" t="str">
        <x:v>vehicle_presence_environmental_light_change_sensing; sensing_task_offloading; conceptual_vehicle_information_sensing</x:v>
      </x:c>
      <x:c r="AB180" s="21" t="str">
        <x:v>3</x:v>
      </x:c>
      <x:c r="AC180" s="21" t="str">
        <x:v>analytical; simulation</x:v>
      </x:c>
      <x:c r="AD180" s="21" t="str">
        <x:v>6G_access; vehicular</x:v>
      </x:c>
      <x:c r="AE180" s="21" t="str">
        <x:v>direct</x:v>
      </x:c>
    </x:row>
    <x:row r="181" ht="42" customHeight="1">
      <x:c r="A181" s="21" t="str">
        <x:v>STC-SINGLETON-SCR-01060</x:v>
      </x:c>
      <x:c r="B181" s="21" t="str">
        <x:v>SCR-01060</x:v>
      </x:c>
      <x:c r="C181" s="21" t="str">
        <x:v>OISAC_SCR01060</x:v>
      </x:c>
      <x:c r="D181" s="21" t="str">
        <x:v>OISAC_SCR01060</x:v>
      </x:c>
      <x:c r="E181" s="21" t="str"/>
      <x:c r="F181" s="21" t="str">
        <x:v>OISAC_SCR01060</x:v>
      </x:c>
      <x:c r="G181" s="21" t="str">
        <x:v>\cite{OISAC_SCR01060}</x:v>
      </x:c>
      <x:c r="H181" s="21" t="str">
        <x:v>Dong et al. (2026)</x:v>
      </x:c>
      <x:c r="I181" s="21" t="str">
        <x:v>An Information Interaction Method for Autonomous Train Operation Protection Based on Detection and Communication Integrated Microwave Photonic Radar</x:v>
      </x:c>
      <x:c r="J181" s="23" t="str">
        <x:v>2026</x:v>
      </x:c>
      <x:c r="K181" s="21" t="str">
        <x:v>IEEE Transactions on Instrumentation and Measurement</x:v>
      </x:c>
      <x:c r="L181" s="21" t="str">
        <x:v>10.1109/tim.2026.3654714</x:v>
      </x:c>
      <x:c r="M181" s="21" t="str">
        <x:v>RPT-SCR-01060-01</x:v>
      </x:c>
      <x:c r="N181" s="23" t="str">
        <x:v>1</x:v>
      </x:c>
      <x:c r="O181" s="23" t="str">
        <x:v>0</x:v>
      </x:c>
      <x:c r="P181" s="21" t="str">
        <x:v>RPT-SCR-01060-01</x:v>
      </x:c>
      <x:c r="Q181" s="23" t="str">
        <x:v>1</x:v>
      </x:c>
      <x:c r="R181" s="23" t="str">
        <x:v>16</x:v>
      </x:c>
      <x:c r="S181" s="23" t="str">
        <x:v>20</x:v>
      </x:c>
      <x:c r="T181" s="23" t="str">
        <x:v>3</x:v>
      </x:c>
      <x:c r="U181" s="23" t="str">
        <x:v>0</x:v>
      </x:c>
      <x:c r="V181" s="21" t="str"/>
      <x:c r="W181" s="21" t="str">
        <x:v>governed_eligible</x:v>
      </x:c>
      <x:c r="X181" s="21" t="str">
        <x:v>photonic_THz</x:v>
      </x:c>
      <x:c r="Y181" s="21" t="str">
        <x:v>shared_hardware; shared_resource_allocation</x:v>
      </x:c>
      <x:c r="Z181" s="21" t="str">
        <x:v>train_to_train_guard_command_exchange; cooperative_control_information; QPSK_data_recovery; beam_aligned_directional_link</x:v>
      </x:c>
      <x:c r="AA181" s="21" t="str">
        <x:v>one_dimensional_range_measurement; two_target_range_resolution; azimuth_elevation_estimation; forward_train_tracking; beam_alignment</x:v>
      </x:c>
      <x:c r="AB181" s="21" t="str">
        <x:v>4</x:v>
      </x:c>
      <x:c r="AC181" s="21" t="str">
        <x:v>analytical; simulation; laboratory_experiment</x:v>
      </x:c>
      <x:c r="AD181" s="21" t="str">
        <x:v>vehicular</x:v>
      </x:c>
      <x:c r="AE181" s="21" t="str">
        <x:v>inferred</x:v>
      </x:c>
    </x:row>
    <x:row r="182" ht="42" customHeight="1">
      <x:c r="A182" s="21" t="str">
        <x:v>STC-SINGLETON-SCR-01070</x:v>
      </x:c>
      <x:c r="B182" s="21" t="str">
        <x:v>SCR-01070</x:v>
      </x:c>
      <x:c r="C182" s="21" t="str">
        <x:v>OISAC_SCR01070</x:v>
      </x:c>
      <x:c r="D182" s="21" t="str">
        <x:v>OISAC_SCR01070</x:v>
      </x:c>
      <x:c r="E182" s="21" t="str"/>
      <x:c r="F182" s="21" t="str">
        <x:v>OISAC_SCR01070</x:v>
      </x:c>
      <x:c r="G182" s="21" t="str">
        <x:v>\cite{OISAC_SCR01070}</x:v>
      </x:c>
      <x:c r="H182" s="21" t="str">
        <x:v>Zhu et al. (2025)</x:v>
      </x:c>
      <x:c r="I182" s="21" t="str">
        <x:v>Integrated 1-Tb/s/λ Coherent Optical Transmission and Forward Vibration Sensing Using DFB Lasers with Combined Linewidth of 21.4 MHz</x:v>
      </x:c>
      <x:c r="J182" s="23" t="str">
        <x:v>2025</x:v>
      </x:c>
      <x:c r="K182" s="21" t="str">
        <x:v>2025 Asia Communications and Photonics Conference (ACP)</x:v>
      </x:c>
      <x:c r="L182" s="21" t="str">
        <x:v>10.1109/acp66871.2025.11350713</x:v>
      </x:c>
      <x:c r="M182" s="21" t="str">
        <x:v>RPT-SCR-01070-01</x:v>
      </x:c>
      <x:c r="N182" s="23" t="str">
        <x:v>1</x:v>
      </x:c>
      <x:c r="O182" s="23" t="str">
        <x:v>0</x:v>
      </x:c>
      <x:c r="P182" s="21" t="str">
        <x:v>RPT-SCR-01070-01</x:v>
      </x:c>
      <x:c r="Q182" s="23" t="str">
        <x:v>1</x:v>
      </x:c>
      <x:c r="R182" s="23" t="str">
        <x:v>12</x:v>
      </x:c>
      <x:c r="S182" s="23" t="str">
        <x:v>21</x:v>
      </x:c>
      <x:c r="T182" s="23" t="str">
        <x:v>3</x:v>
      </x:c>
      <x:c r="U182" s="23" t="str">
        <x:v>0</x:v>
      </x:c>
      <x:c r="V182" s="21" t="str"/>
      <x:c r="W182" s="21" t="str">
        <x:v>governed_eligible</x:v>
      </x:c>
      <x:c r="X182" s="21" t="str">
        <x:v>fiber</x:v>
      </x:c>
      <x:c r="Y182" s="21" t="str">
        <x:v>shared_optical_carrier; shared_link_or_channel</x:v>
      </x:c>
      <x:c r="Z182" s="21" t="str">
        <x:v>single_wavelength_terabit_coherent_transport</x:v>
      </x:c>
      <x:c r="AA182" s="21" t="str">
        <x:v>forward_vibration_detection; strain_sensing; potential_bidirectional_localization</x:v>
      </x:c>
      <x:c r="AB182" s="21" t="str">
        <x:v>4</x:v>
      </x:c>
      <x:c r="AC182" s="21" t="str">
        <x:v>analytical; laboratory_experiment</x:v>
      </x:c>
      <x:c r="AD182" s="21" t="str">
        <x:v>environment_monitoring</x:v>
      </x:c>
      <x:c r="AE182" s="21" t="str">
        <x:v>inferred</x:v>
      </x:c>
    </x:row>
    <x:row r="183" ht="42" customHeight="1">
      <x:c r="A183" s="21" t="str">
        <x:v>STC-SINGLETON-SCR-01071</x:v>
      </x:c>
      <x:c r="B183" s="21" t="str">
        <x:v>SCR-01071</x:v>
      </x:c>
      <x:c r="C183" s="21" t="str">
        <x:v>OISAC_SCR01071</x:v>
      </x:c>
      <x:c r="D183" s="21" t="str">
        <x:v>OISAC_SCR01071</x:v>
      </x:c>
      <x:c r="E183" s="21" t="str"/>
      <x:c r="F183" s="21" t="str">
        <x:v>OISAC_SCR01071</x:v>
      </x:c>
      <x:c r="G183" s="21" t="str">
        <x:v>\cite{OISAC_SCR01071}</x:v>
      </x:c>
      <x:c r="H183" s="21" t="str">
        <x:v>Zhu et al. (2026)</x:v>
      </x:c>
      <x:c r="I183" s="21" t="str">
        <x:v>Long-Distance Integrated Forward Vibration Sensing and Terabit Optical Communication with 12.5-MHz DFB Laser via Phase Noise Separation</x:v>
      </x:c>
      <x:c r="J183" s="23" t="str">
        <x:v>2026</x:v>
      </x:c>
      <x:c r="K183" s="21" t="str">
        <x:v>2026 Optical Fiber Communications Conference and Exhibition (OFC)</x:v>
      </x:c>
      <x:c r="L183" s="21" t="str"/>
      <x:c r="M183" s="21" t="str">
        <x:v>RPT-SCR-01071-01</x:v>
      </x:c>
      <x:c r="N183" s="23" t="str">
        <x:v>1</x:v>
      </x:c>
      <x:c r="O183" s="23" t="str">
        <x:v>0</x:v>
      </x:c>
      <x:c r="P183" s="21" t="str">
        <x:v>RPT-SCR-01071-01</x:v>
      </x:c>
      <x:c r="Q183" s="23" t="str">
        <x:v>1</x:v>
      </x:c>
      <x:c r="R183" s="23" t="str">
        <x:v>11</x:v>
      </x:c>
      <x:c r="S183" s="23" t="str">
        <x:v>25</x:v>
      </x:c>
      <x:c r="T183" s="23" t="str">
        <x:v>3</x:v>
      </x:c>
      <x:c r="U183" s="23" t="str">
        <x:v>0</x:v>
      </x:c>
      <x:c r="V183" s="21" t="str"/>
      <x:c r="W183" s="21" t="str">
        <x:v>governed_eligible</x:v>
      </x:c>
      <x:c r="X183" s="21" t="str">
        <x:v>fiber</x:v>
      </x:c>
      <x:c r="Y183" s="21" t="str">
        <x:v>shared_optical_carrier; shared_link_or_channel</x:v>
      </x:c>
      <x:c r="Z183" s="21" t="str">
        <x:v>single_wavelength_terabit_coherent_transport</x:v>
      </x:c>
      <x:c r="AA183" s="21" t="str">
        <x:v>forward_vibration_detection; small_strain_detection</x:v>
      </x:c>
      <x:c r="AB183" s="21" t="str">
        <x:v>4</x:v>
      </x:c>
      <x:c r="AC183" s="21" t="str">
        <x:v>analytical; laboratory_experiment</x:v>
      </x:c>
      <x:c r="AD183" s="21" t="str">
        <x:v>environment_monitoring</x:v>
      </x:c>
      <x:c r="AE183" s="21" t="str">
        <x:v>inferred</x:v>
      </x:c>
    </x:row>
    <x:row r="184" ht="42" customHeight="1">
      <x:c r="A184" s="21" t="str">
        <x:v>STC-SINGLETON-SCR-01072</x:v>
      </x:c>
      <x:c r="B184" s="21" t="str">
        <x:v>SCR-01072</x:v>
      </x:c>
      <x:c r="C184" s="21" t="str">
        <x:v>OISAC_SCR01072</x:v>
      </x:c>
      <x:c r="D184" s="21" t="str">
        <x:v>OISAC_SCR01072</x:v>
      </x:c>
      <x:c r="E184" s="21" t="str"/>
      <x:c r="F184" s="21" t="str">
        <x:v>OISAC_SCR01072</x:v>
      </x:c>
      <x:c r="G184" s="21" t="str">
        <x:v>\cite{OISAC_SCR01072}</x:v>
      </x:c>
      <x:c r="H184" s="21" t="str">
        <x:v>Yang et al. (2026)</x:v>
      </x:c>
      <x:c r="I184" s="21" t="str">
        <x:v>Accurate vibration recognition enabled by synergistic sensing based on both phase and SOP for stable IM-DD optical interconnects</x:v>
      </x:c>
      <x:c r="J184" s="23" t="str">
        <x:v>2026</x:v>
      </x:c>
      <x:c r="K184" s="21" t="str">
        <x:v>Journal of Optical Communications and Networking</x:v>
      </x:c>
      <x:c r="L184" s="21" t="str">
        <x:v>10.1364/jocn.584770</x:v>
      </x:c>
      <x:c r="M184" s="21" t="str">
        <x:v>RPT-SCR-01072-01</x:v>
      </x:c>
      <x:c r="N184" s="23" t="str">
        <x:v>1</x:v>
      </x:c>
      <x:c r="O184" s="23" t="str">
        <x:v>0</x:v>
      </x:c>
      <x:c r="P184" s="21" t="str">
        <x:v>RPT-SCR-01072-01</x:v>
      </x:c>
      <x:c r="Q184" s="23" t="str">
        <x:v>1</x:v>
      </x:c>
      <x:c r="R184" s="23" t="str">
        <x:v>15</x:v>
      </x:c>
      <x:c r="S184" s="23" t="str">
        <x:v>53</x:v>
      </x:c>
      <x:c r="T184" s="23" t="str">
        <x:v>3</x:v>
      </x:c>
      <x:c r="U184" s="23" t="str">
        <x:v>0</x:v>
      </x:c>
      <x:c r="V184" s="21" t="str"/>
      <x:c r="W184" s="21" t="str">
        <x:v>governed_eligible</x:v>
      </x:c>
      <x:c r="X184" s="21" t="str">
        <x:v>fiber</x:v>
      </x:c>
      <x:c r="Y184" s="21" t="str">
        <x:v>shared_waveform; joint_design_or_optimization</x:v>
      </x:c>
      <x:c r="Z184" s="21" t="str">
        <x:v>64_Gbaud_PAM4_IM_DD_transmission; BER_evaluation</x:v>
      </x:c>
      <x:c r="AA184" s="21" t="str">
        <x:v>forward_vibration_detection; SOP_variation_monitoring; phase_variation_monitoring; six_class_vibration_event_recognition; optical_link_condition_monitoring</x:v>
      </x:c>
      <x:c r="AB184" s="21" t="str">
        <x:v>4</x:v>
      </x:c>
      <x:c r="AC184" s="21" t="str">
        <x:v>dataset_based; laboratory_experiment</x:v>
      </x:c>
      <x:c r="AD184" s="21" t="str">
        <x:v>security; datacenter</x:v>
      </x:c>
      <x:c r="AE184" s="21" t="str">
        <x:v>inferred</x:v>
      </x:c>
    </x:row>
    <x:row r="185" ht="42" customHeight="1">
      <x:c r="A185" s="21" t="str">
        <x:v>STC-SINGLETON-SCR-01073</x:v>
      </x:c>
      <x:c r="B185" s="21" t="str">
        <x:v>SCR-01073</x:v>
      </x:c>
      <x:c r="C185" s="21" t="str">
        <x:v>OISAC_SCR01073</x:v>
      </x:c>
      <x:c r="D185" s="21" t="str">
        <x:v>OISAC_SCR01073</x:v>
      </x:c>
      <x:c r="E185" s="21" t="str"/>
      <x:c r="F185" s="21" t="str">
        <x:v>OISAC_SCR01073</x:v>
      </x:c>
      <x:c r="G185" s="21" t="str">
        <x:v>\cite{OISAC_SCR01073}</x:v>
      </x:c>
      <x:c r="H185" s="21" t="str">
        <x:v>Meng et al. (2026)</x:v>
      </x:c>
      <x:c r="I185" s="21" t="str">
        <x:v>Photonics-Assisted System for Joint Radar Ranging, Wireless Communications, and Spectrum Sensing</x:v>
      </x:c>
      <x:c r="J185" s="23" t="str">
        <x:v>2026</x:v>
      </x:c>
      <x:c r="K185" s="21" t="str">
        <x:v>Journal of Lightwave Technology</x:v>
      </x:c>
      <x:c r="L185" s="21" t="str">
        <x:v>10.1109/jlt.2025.3632104</x:v>
      </x:c>
      <x:c r="M185" s="21" t="str">
        <x:v>RPT-SCR-01073-01</x:v>
      </x:c>
      <x:c r="N185" s="23" t="str">
        <x:v>1</x:v>
      </x:c>
      <x:c r="O185" s="23" t="str">
        <x:v>0</x:v>
      </x:c>
      <x:c r="P185" s="21" t="str">
        <x:v>RPT-SCR-01073-01</x:v>
      </x:c>
      <x:c r="Q185" s="23" t="str">
        <x:v>1</x:v>
      </x:c>
      <x:c r="R185" s="23" t="str">
        <x:v>14</x:v>
      </x:c>
      <x:c r="S185" s="23" t="str">
        <x:v>37</x:v>
      </x:c>
      <x:c r="T185" s="23" t="str">
        <x:v>3</x:v>
      </x:c>
      <x:c r="U185" s="23" t="str">
        <x:v>0</x:v>
      </x:c>
      <x:c r="V185" s="21" t="str"/>
      <x:c r="W185" s="21" t="str">
        <x:v>governed_eligible</x:v>
      </x:c>
      <x:c r="X185" s="21" t="str">
        <x:v>photonic_THz</x:v>
      </x:c>
      <x:c r="Y185" s="21" t="str">
        <x:v>shared_resource_allocation</x:v>
      </x:c>
      <x:c r="Z185" s="21" t="str">
        <x:v>1_Gbit_s_ASK_wireless_transmission; envelope_detection_and_threshold_decision</x:v>
      </x:c>
      <x:c r="AA185" s="21" t="str">
        <x:v>radar_target_ranging; microwave_spectrum_sensing; signal_under_test_frequency_measurement</x:v>
      </x:c>
      <x:c r="AB185" s="21" t="str">
        <x:v>4</x:v>
      </x:c>
      <x:c r="AC185" s="21" t="str">
        <x:v>laboratory_experiment</x:v>
      </x:c>
      <x:c r="AD185" s="21" t="str">
        <x:v>6G_access; environment_monitoring</x:v>
      </x:c>
      <x:c r="AE185" s="21" t="str">
        <x:v>direct</x:v>
      </x:c>
    </x:row>
    <x:row r="186" ht="42" customHeight="1">
      <x:c r="A186" s="21" t="str">
        <x:v>STC-SINGLETON-SCR-01079</x:v>
      </x:c>
      <x:c r="B186" s="21" t="str">
        <x:v>SCR-01079</x:v>
      </x:c>
      <x:c r="C186" s="21" t="str">
        <x:v>OISAC_SCR01079</x:v>
      </x:c>
      <x:c r="D186" s="21" t="str">
        <x:v>OISAC_SCR01079</x:v>
      </x:c>
      <x:c r="E186" s="21" t="str"/>
      <x:c r="F186" s="21" t="str">
        <x:v>OISAC_SCR01079</x:v>
      </x:c>
      <x:c r="G186" s="21" t="str">
        <x:v>\cite{OISAC_SCR01079}</x:v>
      </x:c>
      <x:c r="H186" s="21" t="str">
        <x:v>Wang et al. (2026)</x:v>
      </x:c>
      <x:c r="I186" s="21" t="str">
        <x:v>Sensing as a Service: Can In-Band Distributed Fiber Optic Sensing Coexist With Coherent Metro DWDM Communication Network?</x:v>
      </x:c>
      <x:c r="J186" s="23" t="str">
        <x:v>2026</x:v>
      </x:c>
      <x:c r="K186" s="21" t="str">
        <x:v>Journal of Lightwave Technology</x:v>
      </x:c>
      <x:c r="L186" s="21" t="str">
        <x:v>10.1109/jlt.2025.3647287</x:v>
      </x:c>
      <x:c r="M186" s="21" t="str">
        <x:v>RPT-SCR-01079-01</x:v>
      </x:c>
      <x:c r="N186" s="23" t="str">
        <x:v>1</x:v>
      </x:c>
      <x:c r="O186" s="23" t="str">
        <x:v>0</x:v>
      </x:c>
      <x:c r="P186" s="21" t="str">
        <x:v>RPT-SCR-01079-01</x:v>
      </x:c>
      <x:c r="Q186" s="23" t="str">
        <x:v>1</x:v>
      </x:c>
      <x:c r="R186" s="23" t="str">
        <x:v>14</x:v>
      </x:c>
      <x:c r="S186" s="23" t="str">
        <x:v>46</x:v>
      </x:c>
      <x:c r="T186" s="23" t="str">
        <x:v>3</x:v>
      </x:c>
      <x:c r="U186" s="23" t="str">
        <x:v>0</x:v>
      </x:c>
      <x:c r="V186" s="21" t="str"/>
      <x:c r="W186" s="21" t="str">
        <x:v>governed_eligible</x:v>
      </x:c>
      <x:c r="X186" s="21" t="str">
        <x:v>fiber</x:v>
      </x:c>
      <x:c r="Y186" s="21" t="str">
        <x:v>shared_link_or_channel; shared_resource_allocation</x:v>
      </x:c>
      <x:c r="Z186" s="21" t="str">
        <x:v>40_channel_800G_line_rate_transmission; BER_and_SNR_penalty_under_DAS; legacy_ZR_receiver_tolerance</x:v>
      </x:c>
      <x:c r="AA186" s="21" t="str">
        <x:v>distributed_acoustic_sensing; 50_and_200_Hz_vibration_detection; long_reach_fiber_monitoring</x:v>
      </x:c>
      <x:c r="AB186" s="21" t="str">
        <x:v>4</x:v>
      </x:c>
      <x:c r="AC186" s="21" t="str">
        <x:v>simulation; laboratory_experiment</x:v>
      </x:c>
      <x:c r="AD186" s="21" t="str">
        <x:v>environment_monitoring</x:v>
      </x:c>
      <x:c r="AE186" s="21" t="str">
        <x:v>inferred</x:v>
      </x:c>
    </x:row>
    <x:row r="187" ht="42" customHeight="1">
      <x:c r="A187" s="21" t="str">
        <x:v>STC-SINGLETON-SCR-01081</x:v>
      </x:c>
      <x:c r="B187" s="21" t="str">
        <x:v>SCR-01081</x:v>
      </x:c>
      <x:c r="C187" s="21" t="str">
        <x:v>OISAC_SCR01081</x:v>
      </x:c>
      <x:c r="D187" s="21" t="str">
        <x:v>OISAC_SCR01081</x:v>
      </x:c>
      <x:c r="E187" s="21" t="str"/>
      <x:c r="F187" s="21" t="str">
        <x:v>OISAC_SCR01081</x:v>
      </x:c>
      <x:c r="G187" s="21" t="str">
        <x:v>\cite{OISAC_SCR01081}</x:v>
      </x:c>
      <x:c r="H187" s="21" t="str">
        <x:v>Wei et al. (2023)</x:v>
      </x:c>
      <x:c r="I187" s="21" t="str">
        <x:v>Visible Light Integrated Positioning and Communication: A Multi-Task Federated Learning Framework</x:v>
      </x:c>
      <x:c r="J187" s="23" t="str">
        <x:v>2023</x:v>
      </x:c>
      <x:c r="K187" s="21" t="str">
        <x:v>IEEE Transactions on Mobile Computing</x:v>
      </x:c>
      <x:c r="L187" s="21" t="str">
        <x:v>10.1109/tmc.2022.3207164</x:v>
      </x:c>
      <x:c r="M187" s="21" t="str">
        <x:v>RPT-SCR-01081-01</x:v>
      </x:c>
      <x:c r="N187" s="23" t="str">
        <x:v>1</x:v>
      </x:c>
      <x:c r="O187" s="23" t="str">
        <x:v>0</x:v>
      </x:c>
      <x:c r="P187" s="21" t="str">
        <x:v>RPT-SCR-01081-01</x:v>
      </x:c>
      <x:c r="Q187" s="23" t="str">
        <x:v>1</x:v>
      </x:c>
      <x:c r="R187" s="23" t="str">
        <x:v>14</x:v>
      </x:c>
      <x:c r="S187" s="23" t="str">
        <x:v>39</x:v>
      </x:c>
      <x:c r="T187" s="23" t="str">
        <x:v>3</x:v>
      </x:c>
      <x:c r="U187" s="23" t="str">
        <x:v>0</x:v>
      </x:c>
      <x:c r="V187" s="21" t="str"/>
      <x:c r="W187" s="21" t="str">
        <x:v>governed_eligible</x:v>
      </x:c>
      <x:c r="X187" s="21" t="str">
        <x:v>VLC_LiFi</x:v>
      </x:c>
      <x:c r="Y187" s="21" t="str">
        <x:v>shared_waveform; shared_resource_allocation; joint_design_or_optimization</x:v>
      </x:c>
      <x:c r="Z187" s="21" t="str">
        <x:v>OFDM_visible_light_data; sparse_channel_estimation; frequency_domain_equalization</x:v>
      </x:c>
      <x:c r="AA187" s="21" t="str">
        <x:v>three_dimensional_indoor_positioning; relative_cluster_positioning; spatiotemporal_adaptation</x:v>
      </x:c>
      <x:c r="AB187" s="21" t="str">
        <x:v>2</x:v>
      </x:c>
      <x:c r="AC187" s="21" t="str">
        <x:v>analytical; simulation</x:v>
      </x:c>
      <x:c r="AD187" s="21" t="str">
        <x:v>indoor_positioning</x:v>
      </x:c>
      <x:c r="AE187" s="21" t="str">
        <x:v>direct</x:v>
      </x:c>
    </x:row>
    <x:row r="188" ht="42" customHeight="1">
      <x:c r="A188" s="21" t="str">
        <x:v>STC-SINGLETON-SCR-01085</x:v>
      </x:c>
      <x:c r="B188" s="21" t="str">
        <x:v>SCR-01085</x:v>
      </x:c>
      <x:c r="C188" s="21" t="str">
        <x:v>OISAC_SCR01085</x:v>
      </x:c>
      <x:c r="D188" s="21" t="str">
        <x:v>OISAC_SCR01085</x:v>
      </x:c>
      <x:c r="E188" s="21" t="str"/>
      <x:c r="F188" s="21" t="str">
        <x:v>OISAC_SCR01085</x:v>
      </x:c>
      <x:c r="G188" s="21" t="str">
        <x:v>\cite{OISAC_SCR01085}</x:v>
      </x:c>
      <x:c r="H188" s="21" t="str">
        <x:v>Zhou et al. (2025)</x:v>
      </x:c>
      <x:c r="I188" s="21" t="str">
        <x:v>Turbulence-Resilient Communication through Beam Shaping Enabled by Multi-Region Turbulence Intensity Sensing</x:v>
      </x:c>
      <x:c r="J188" s="23" t="str">
        <x:v>2025</x:v>
      </x:c>
      <x:c r="K188" s="21" t="str">
        <x:v>2025 Asia Communications and Photonics Conference (ACP)</x:v>
      </x:c>
      <x:c r="L188" s="21" t="str">
        <x:v>10.1109/acp66871.2025.11350958</x:v>
      </x:c>
      <x:c r="M188" s="21" t="str">
        <x:v>RPT-SCR-01085-01</x:v>
      </x:c>
      <x:c r="N188" s="23" t="str">
        <x:v>1</x:v>
      </x:c>
      <x:c r="O188" s="23" t="str">
        <x:v>0</x:v>
      </x:c>
      <x:c r="P188" s="21" t="str">
        <x:v>RPT-SCR-01085-01</x:v>
      </x:c>
      <x:c r="Q188" s="23" t="str">
        <x:v>1</x:v>
      </x:c>
      <x:c r="R188" s="23" t="str">
        <x:v>14</x:v>
      </x:c>
      <x:c r="S188" s="23" t="str">
        <x:v>46</x:v>
      </x:c>
      <x:c r="T188" s="23" t="str">
        <x:v>3</x:v>
      </x:c>
      <x:c r="U188" s="23" t="str">
        <x:v>0</x:v>
      </x:c>
      <x:c r="V188" s="21" t="str"/>
      <x:c r="W188" s="21" t="str">
        <x:v>governed_eligible</x:v>
      </x:c>
      <x:c r="X188" s="21" t="str">
        <x:v>FSO</x:v>
      </x:c>
      <x:c r="Y188" s="21" t="str">
        <x:v>shared_link_or_channel</x:v>
      </x:c>
      <x:c r="Z188" s="21" t="str">
        <x:v>coherent_QPSK_FSO; single_mode_fiber_coupling; BER_and_FEC_correctable_pass_rate</x:v>
      </x:c>
      <x:c r="AA188" s="21" t="str">
        <x:v>range_resolved_two_region_turbulence_strength_reconstruction; Fried_parameter_estimation; beam_mode_energy_measurement</x:v>
      </x:c>
      <x:c r="AB188" s="21" t="str">
        <x:v>4</x:v>
      </x:c>
      <x:c r="AC188" s="21" t="str">
        <x:v>laboratory_experiment</x:v>
      </x:c>
      <x:c r="AD188" s="21" t="str">
        <x:v>environment_monitoring</x:v>
      </x:c>
      <x:c r="AE188" s="21" t="str">
        <x:v>direct</x:v>
      </x:c>
    </x:row>
    <x:row r="189" ht="42" customHeight="1">
      <x:c r="A189" s="21" t="str">
        <x:v>STC-SINGLETON-SCR-01086</x:v>
      </x:c>
      <x:c r="B189" s="21" t="str">
        <x:v>SCR-01086</x:v>
      </x:c>
      <x:c r="C189" s="21" t="str">
        <x:v>OISAC_SCR01086</x:v>
      </x:c>
      <x:c r="D189" s="21" t="str">
        <x:v>OISAC_SCR01086</x:v>
      </x:c>
      <x:c r="E189" s="21" t="str"/>
      <x:c r="F189" s="21" t="str">
        <x:v>OISAC_SCR01086</x:v>
      </x:c>
      <x:c r="G189" s="21" t="str">
        <x:v>\cite{OISAC_SCR01086}</x:v>
      </x:c>
      <x:c r="H189" s="21" t="str">
        <x:v>Wei et al. (2026)</x:v>
      </x:c>
      <x:c r="I189" s="21" t="str">
        <x:v>Simultaneous distributed sensing and communication enabled by space and wavelength division multiplexing in a field-deployed seven-core fiber</x:v>
      </x:c>
      <x:c r="J189" s="23" t="str">
        <x:v>2026</x:v>
      </x:c>
      <x:c r="K189" s="21" t="str">
        <x:v>Journal of Optical Communications and Networking</x:v>
      </x:c>
      <x:c r="L189" s="21" t="str">
        <x:v>10.1364/jocn.584295</x:v>
      </x:c>
      <x:c r="M189" s="21" t="str">
        <x:v>RPT-SCR-01086-01</x:v>
      </x:c>
      <x:c r="N189" s="23" t="str">
        <x:v>1</x:v>
      </x:c>
      <x:c r="O189" s="23" t="str">
        <x:v>0</x:v>
      </x:c>
      <x:c r="P189" s="21" t="str">
        <x:v>RPT-SCR-01086-01</x:v>
      </x:c>
      <x:c r="Q189" s="23" t="str">
        <x:v>1</x:v>
      </x:c>
      <x:c r="R189" s="23" t="str">
        <x:v>16</x:v>
      </x:c>
      <x:c r="S189" s="23" t="str">
        <x:v>21</x:v>
      </x:c>
      <x:c r="T189" s="23" t="str">
        <x:v>3</x:v>
      </x:c>
      <x:c r="U189" s="23" t="str">
        <x:v>0</x:v>
      </x:c>
      <x:c r="V189" s="21" t="str"/>
      <x:c r="W189" s="21" t="str">
        <x:v>governed_eligible</x:v>
      </x:c>
      <x:c r="X189" s="21" t="str">
        <x:v>fiber</x:v>
      </x:c>
      <x:c r="Y189" s="21" t="str">
        <x:v>shared_link_or_channel; shared_resource_allocation</x:v>
      </x:c>
      <x:c r="Z189" s="21" t="str">
        <x:v>real_time_C_band_OTN_transport; coherent_16QAM_traffic; multi_core_WDM_transmission; BER_monitoring</x:v>
      </x:c>
      <x:c r="AA189" s="21" t="str">
        <x:v>distributed_vibration_detection; vehicle_trajectory_monitoring; metro_train_detection; fiber_security_event_monitoring; high_frequency_acoustic_detection</x:v>
      </x:c>
      <x:c r="AB189" s="21" t="str">
        <x:v>6</x:v>
      </x:c>
      <x:c r="AC189" s="21" t="str">
        <x:v>analytical; laboratory_experiment; field_experiment</x:v>
      </x:c>
      <x:c r="AD189" s="21" t="str">
        <x:v>vehicular; security; environment_monitoring; smart_infrastructure</x:v>
      </x:c>
      <x:c r="AE189" s="21" t="str">
        <x:v>inferred</x:v>
      </x:c>
    </x:row>
    <x:row r="190" ht="42" customHeight="1">
      <x:c r="A190" s="21" t="str">
        <x:v>STC-SINGLETON-SCR-01088</x:v>
      </x:c>
      <x:c r="B190" s="21" t="str">
        <x:v>SCR-01088</x:v>
      </x:c>
      <x:c r="C190" s="21" t="str">
        <x:v>OISAC_SCR01088</x:v>
      </x:c>
      <x:c r="D190" s="21" t="str">
        <x:v>OISAC_SCR01088</x:v>
      </x:c>
      <x:c r="E190" s="21" t="str"/>
      <x:c r="F190" s="21" t="str">
        <x:v>OISAC_SCR01088</x:v>
      </x:c>
      <x:c r="G190" s="21" t="str">
        <x:v>\cite{OISAC_SCR01088}</x:v>
      </x:c>
      <x:c r="H190" s="21" t="str">
        <x:v>Zou et al. (2026)</x:v>
      </x:c>
      <x:c r="I190" s="21" t="str">
        <x:v>Picosecond-Level Round-Trip Delay Measurement Scheme Based on Non-Commensurate Sampling for Future Deterministic Passive Optical Networks</x:v>
      </x:c>
      <x:c r="J190" s="23" t="str">
        <x:v>2026</x:v>
      </x:c>
      <x:c r="K190" s="21" t="str">
        <x:v>Journal of Lightwave Technology</x:v>
      </x:c>
      <x:c r="L190" s="21" t="str">
        <x:v>10.1109/jlt.2026.3692484</x:v>
      </x:c>
      <x:c r="M190" s="21" t="str">
        <x:v>RPT-SCR-01088-01</x:v>
      </x:c>
      <x:c r="N190" s="23" t="str">
        <x:v>1</x:v>
      </x:c>
      <x:c r="O190" s="23" t="str">
        <x:v>0</x:v>
      </x:c>
      <x:c r="P190" s="21" t="str">
        <x:v>RPT-SCR-01088-01</x:v>
      </x:c>
      <x:c r="Q190" s="23" t="str">
        <x:v>1</x:v>
      </x:c>
      <x:c r="R190" s="23" t="str">
        <x:v>16</x:v>
      </x:c>
      <x:c r="S190" s="23" t="str">
        <x:v>23</x:v>
      </x:c>
      <x:c r="T190" s="23" t="str">
        <x:v>3</x:v>
      </x:c>
      <x:c r="U190" s="23" t="str">
        <x:v>0</x:v>
      </x:c>
      <x:c r="V190" s="21" t="str"/>
      <x:c r="W190" s="21" t="str">
        <x:v>governed_eligible</x:v>
      </x:c>
      <x:c r="X190" s="21" t="str">
        <x:v>fiber</x:v>
      </x:c>
      <x:c r="Y190" s="21" t="str">
        <x:v>shared_hardware</x:v>
      </x:c>
      <x:c r="Z190" s="21" t="str">
        <x:v>50G_OOK_PON_transport; 200G_DP_16QAM_PON_transport; burst_timing; equalization_delay_assignment; dynamic_bandwidth_allocation_support</x:v>
      </x:c>
      <x:c r="AA190" s="21" t="str">
        <x:v>round_trip_delay_measurement; fiber_propagation_delay_monitoring; potential_fiber_temperature_monitoring_not_demonstrated</x:v>
      </x:c>
      <x:c r="AB190" s="21" t="str">
        <x:v>4</x:v>
      </x:c>
      <x:c r="AC190" s="21" t="str">
        <x:v>analytical; simulation; laboratory_experiment</x:v>
      </x:c>
      <x:c r="AD190" s="21" t="str">
        <x:v>optical_access_network</x:v>
      </x:c>
      <x:c r="AE190" s="21" t="str">
        <x:v>direct</x:v>
      </x:c>
    </x:row>
    <x:row r="191" ht="42" customHeight="1">
      <x:c r="A191" s="21" t="str">
        <x:v>STC-SINGLETON-SCR-01093</x:v>
      </x:c>
      <x:c r="B191" s="21" t="str">
        <x:v>SCR-01093</x:v>
      </x:c>
      <x:c r="C191" s="21" t="str">
        <x:v>OISAC_SCR01093</x:v>
      </x:c>
      <x:c r="D191" s="21" t="str">
        <x:v>OISAC_SCR01093</x:v>
      </x:c>
      <x:c r="E191" s="21" t="str"/>
      <x:c r="F191" s="21" t="str">
        <x:v>OISAC_SCR01093</x:v>
      </x:c>
      <x:c r="G191" s="21" t="str">
        <x:v>\cite{OISAC_SCR01093}</x:v>
      </x:c>
      <x:c r="H191" s="21" t="str">
        <x:v>Liu et al. (2025)</x:v>
      </x:c>
      <x:c r="I191" s="21" t="str">
        <x:v>Coexistence of Distributed Sensing and Ultra-Simple Coherent RoF Based Front-Haul for Radio Access Network</x:v>
      </x:c>
      <x:c r="J191" s="23" t="str">
        <x:v>2025</x:v>
      </x:c>
      <x:c r="K191" s="21" t="str">
        <x:v>Journal of Lightwave Technology</x:v>
      </x:c>
      <x:c r="L191" s="21" t="str">
        <x:v>10.1109/jlt.2025.3555486</x:v>
      </x:c>
      <x:c r="M191" s="21" t="str">
        <x:v>RPT-SCR-01093-01</x:v>
      </x:c>
      <x:c r="N191" s="23" t="str">
        <x:v>1</x:v>
      </x:c>
      <x:c r="O191" s="23" t="str">
        <x:v>0</x:v>
      </x:c>
      <x:c r="P191" s="21" t="str">
        <x:v>RPT-SCR-01093-01</x:v>
      </x:c>
      <x:c r="Q191" s="23" t="str">
        <x:v>1</x:v>
      </x:c>
      <x:c r="R191" s="23" t="str">
        <x:v>16</x:v>
      </x:c>
      <x:c r="S191" s="23" t="str">
        <x:v>21</x:v>
      </x:c>
      <x:c r="T191" s="23" t="str">
        <x:v>3</x:v>
      </x:c>
      <x:c r="U191" s="23" t="str">
        <x:v>0</x:v>
      </x:c>
      <x:c r="V191" s="21" t="str"/>
      <x:c r="W191" s="21" t="str">
        <x:v>governed_eligible</x:v>
      </x:c>
      <x:c r="X191" s="21" t="str">
        <x:v>photonic_THz</x:v>
      </x:c>
      <x:c r="Y191" s="21" t="str">
        <x:v>shared_optical_carrier; shared_link_or_channel</x:v>
      </x:c>
      <x:c r="Z191" s="21" t="str">
        <x:v>coherent_RoF_fronthaul; 28_GHz_remote_upconversion; 1.6_GBaud_16QAM_transport; fiber_wireless_transmission; RAN_fronthaul</x:v>
      </x:c>
      <x:c r="AA191" s="21" t="str">
        <x:v>distributed_vibration_detection; vibration_localization; vibration_frequency_recovery; strain_monitoring</x:v>
      </x:c>
      <x:c r="AB191" s="21" t="str">
        <x:v>4</x:v>
      </x:c>
      <x:c r="AC191" s="21" t="str">
        <x:v>analytical; laboratory_experiment</x:v>
      </x:c>
      <x:c r="AD191" s="21" t="str">
        <x:v>6G_access; environment_monitoring; optical_access_network</x:v>
      </x:c>
      <x:c r="AE191" s="21" t="str">
        <x:v>inferred</x:v>
      </x:c>
    </x:row>
    <x:row r="192" ht="42" customHeight="1">
      <x:c r="A192" s="21" t="str">
        <x:v>STC-SINGLETON-SCR-01095</x:v>
      </x:c>
      <x:c r="B192" s="21" t="str">
        <x:v>SCR-01095</x:v>
      </x:c>
      <x:c r="C192" s="21" t="str">
        <x:v>OISAC_SCR01095</x:v>
      </x:c>
      <x:c r="D192" s="21" t="str">
        <x:v>OISAC_SCR01095</x:v>
      </x:c>
      <x:c r="E192" s="21" t="str"/>
      <x:c r="F192" s="21" t="str">
        <x:v>OISAC_SCR01095</x:v>
      </x:c>
      <x:c r="G192" s="21" t="str">
        <x:v>\cite{OISAC_SCR01095}</x:v>
      </x:c>
      <x:c r="H192" s="21" t="str">
        <x:v>Wu et al. (2025)</x:v>
      </x:c>
      <x:c r="I192" s="21" t="str">
        <x:v>Advanced Integration of Sensing and Communication With High DSP Compatibility for SMART Network</x:v>
      </x:c>
      <x:c r="J192" s="23" t="str">
        <x:v>2025</x:v>
      </x:c>
      <x:c r="K192" s="21" t="str">
        <x:v>IEEE Photonics Technology Letters</x:v>
      </x:c>
      <x:c r="L192" s="21" t="str">
        <x:v>10.1109/lpt.2025.3593343</x:v>
      </x:c>
      <x:c r="M192" s="21" t="str">
        <x:v>RPT-SCR-01095-01</x:v>
      </x:c>
      <x:c r="N192" s="23" t="str">
        <x:v>1</x:v>
      </x:c>
      <x:c r="O192" s="23" t="str">
        <x:v>0</x:v>
      </x:c>
      <x:c r="P192" s="21" t="str">
        <x:v>RPT-SCR-01095-01</x:v>
      </x:c>
      <x:c r="Q192" s="23" t="str">
        <x:v>1</x:v>
      </x:c>
      <x:c r="R192" s="23" t="str">
        <x:v>16</x:v>
      </x:c>
      <x:c r="S192" s="23" t="str">
        <x:v>19</x:v>
      </x:c>
      <x:c r="T192" s="23" t="str">
        <x:v>3</x:v>
      </x:c>
      <x:c r="U192" s="23" t="str">
        <x:v>0</x:v>
      </x:c>
      <x:c r="V192" s="21" t="str"/>
      <x:c r="W192" s="21" t="str">
        <x:v>governed_eligible</x:v>
      </x:c>
      <x:c r="X192" s="21" t="str">
        <x:v>fiber</x:v>
      </x:c>
      <x:c r="Y192" s="21" t="str">
        <x:v>shared_resource_allocation</x:v>
      </x:c>
      <x:c r="Z192" s="21" t="str">
        <x:v>16_GBaud_DP_QAM16_transport; 100_km_coherent_link; clock_recovery; chromatic_dispersion_compensation; frequency_offset_estimation; MIMO_equalization</x:v>
      </x:c>
      <x:c r="AA192" s="21" t="str">
        <x:v>real_time_temperature_monitoring_at_sensor_joint; electronic_sensor_data_transport; temperature_frequency_demodulation</x:v>
      </x:c>
      <x:c r="AB192" s="21" t="str">
        <x:v>4</x:v>
      </x:c>
      <x:c r="AC192" s="21" t="str">
        <x:v>laboratory_experiment</x:v>
      </x:c>
      <x:c r="AD192" s="21" t="str">
        <x:v>environment_monitoring; underwater</x:v>
      </x:c>
      <x:c r="AE192" s="21" t="str">
        <x:v>inferred</x:v>
      </x:c>
    </x:row>
    <x:row r="193" ht="42" customHeight="1">
      <x:c r="A193" s="21" t="str">
        <x:v>STC-SINGLETON-SCR-01101</x:v>
      </x:c>
      <x:c r="B193" s="21" t="str">
        <x:v>SCR-01101</x:v>
      </x:c>
      <x:c r="C193" s="21" t="str">
        <x:v>OISAC_SCR01101</x:v>
      </x:c>
      <x:c r="D193" s="21" t="str">
        <x:v>OISAC_SCR01101</x:v>
      </x:c>
      <x:c r="E193" s="21" t="str"/>
      <x:c r="F193" s="21" t="str">
        <x:v>OISAC_SCR01101</x:v>
      </x:c>
      <x:c r="G193" s="21" t="str">
        <x:v>\cite{OISAC_SCR01101}</x:v>
      </x:c>
      <x:c r="H193" s="21" t="str">
        <x:v>Du et al. (2024)</x:v>
      </x:c>
      <x:c r="I193" s="21" t="str">
        <x:v>Integrated Communication and Radar Detection Based-on Single Modulator at W-Band</x:v>
      </x:c>
      <x:c r="J193" s="23" t="str">
        <x:v>2024</x:v>
      </x:c>
      <x:c r="K193" s="21" t="str">
        <x:v>2024 7th International Conference on Information Communication and Signal Processing (ICICSP)</x:v>
      </x:c>
      <x:c r="L193" s="21" t="str">
        <x:v>10.1109/icicsp62589.2024.10809149</x:v>
      </x:c>
      <x:c r="M193" s="21" t="str">
        <x:v>RPT-SCR-01101-01</x:v>
      </x:c>
      <x:c r="N193" s="23" t="str">
        <x:v>1</x:v>
      </x:c>
      <x:c r="O193" s="23" t="str">
        <x:v>0</x:v>
      </x:c>
      <x:c r="P193" s="21" t="str">
        <x:v>RPT-SCR-01101-01</x:v>
      </x:c>
      <x:c r="Q193" s="23" t="str">
        <x:v>1</x:v>
      </x:c>
      <x:c r="R193" s="23" t="str">
        <x:v>12</x:v>
      </x:c>
      <x:c r="S193" s="23" t="str">
        <x:v>50</x:v>
      </x:c>
      <x:c r="T193" s="23" t="str">
        <x:v>3</x:v>
      </x:c>
      <x:c r="U193" s="23" t="str">
        <x:v>0</x:v>
      </x:c>
      <x:c r="V193" s="21" t="str"/>
      <x:c r="W193" s="21" t="str">
        <x:v>governed_eligible</x:v>
      </x:c>
      <x:c r="X193" s="21" t="str">
        <x:v>photonic_THz</x:v>
      </x:c>
      <x:c r="Y193" s="21" t="str">
        <x:v>shared_resource_allocation</x:v>
      </x:c>
      <x:c r="Z193" s="21" t="str">
        <x:v>W_band_OFDM_16QAM_64QAM_wireless_transmission; BER_evaluation</x:v>
      </x:c>
      <x:c r="AA193" s="21" t="str">
        <x:v>W_band_radar_range_detection; two_target_range_resolution</x:v>
      </x:c>
      <x:c r="AB193" s="21" t="str">
        <x:v>4</x:v>
      </x:c>
      <x:c r="AC193" s="21" t="str">
        <x:v>simulation; laboratory_experiment</x:v>
      </x:c>
      <x:c r="AD193" s="21" t="str">
        <x:v>6G_access</x:v>
      </x:c>
      <x:c r="AE193" s="21" t="str">
        <x:v>direct</x:v>
      </x:c>
    </x:row>
    <x:row r="194" ht="42" customHeight="1">
      <x:c r="A194" s="21" t="str">
        <x:v>STC-SINGLETON-SCR-01103</x:v>
      </x:c>
      <x:c r="B194" s="21" t="str">
        <x:v>SCR-01103</x:v>
      </x:c>
      <x:c r="C194" s="21" t="str">
        <x:v>OISAC_SCR01103</x:v>
      </x:c>
      <x:c r="D194" s="21" t="str">
        <x:v>OISAC_SCR01103</x:v>
      </x:c>
      <x:c r="E194" s="21" t="str"/>
      <x:c r="F194" s="21" t="str">
        <x:v>OISAC_SCR01103</x:v>
      </x:c>
      <x:c r="G194" s="21" t="str">
        <x:v>\cite{OISAC_SCR01103}</x:v>
      </x:c>
      <x:c r="H194" s="21" t="str">
        <x:v>Yang et al. (2025)</x:v>
      </x:c>
      <x:c r="I194" s="21" t="str">
        <x:v>Vibration Localization under Unidirectional Single-Channel Transmission Conditions in the DSCM Systems Based on Non-Reciprocity</x:v>
      </x:c>
      <x:c r="J194" s="23" t="str">
        <x:v>2025</x:v>
      </x:c>
      <x:c r="K194" s="21" t="str">
        <x:v>2025 Asia Communications and Photonics Conference (ACP)</x:v>
      </x:c>
      <x:c r="L194" s="21" t="str">
        <x:v>10.1109/acp66871.2025.11350955</x:v>
      </x:c>
      <x:c r="M194" s="21" t="str">
        <x:v>RPT-SCR-01103-01</x:v>
      </x:c>
      <x:c r="N194" s="23" t="str">
        <x:v>1</x:v>
      </x:c>
      <x:c r="O194" s="23" t="str">
        <x:v>0</x:v>
      </x:c>
      <x:c r="P194" s="21" t="str">
        <x:v>RPT-SCR-01103-01</x:v>
      </x:c>
      <x:c r="Q194" s="23" t="str">
        <x:v>1</x:v>
      </x:c>
      <x:c r="R194" s="23" t="str">
        <x:v>12</x:v>
      </x:c>
      <x:c r="S194" s="23" t="str">
        <x:v>25</x:v>
      </x:c>
      <x:c r="T194" s="23" t="str">
        <x:v>2</x:v>
      </x:c>
      <x:c r="U194" s="23" t="str">
        <x:v>0</x:v>
      </x:c>
      <x:c r="V194" s="21" t="str"/>
      <x:c r="W194" s="21" t="str">
        <x:v>governed_eligible</x:v>
      </x:c>
      <x:c r="X194" s="21" t="str">
        <x:v>fiber</x:v>
      </x:c>
      <x:c r="Y194" s="21" t="str">
        <x:v>shared_waveform; shared_hardware; shared_resource_allocation</x:v>
      </x:c>
      <x:c r="Z194" s="21" t="str">
        <x:v>single_channel_unidirectional_DSCM_transmission; frequency_offset_estimation; carrier_phase_estimation; 16QAM_demodulation</x:v>
      </x:c>
      <x:c r="AA194" s="21" t="str">
        <x:v>forward_phase_vibration_detection; distributed_vibration_localization</x:v>
      </x:c>
      <x:c r="AB194" s="21" t="str">
        <x:v>2</x:v>
      </x:c>
      <x:c r="AC194" s="21" t="str">
        <x:v>simulation</x:v>
      </x:c>
      <x:c r="AD194" s="21" t="str">
        <x:v>indoor_positioning; environment_monitoring</x:v>
      </x:c>
      <x:c r="AE194" s="21" t="str">
        <x:v>inferred</x:v>
      </x:c>
    </x:row>
    <x:row r="195" ht="42" customHeight="1">
      <x:c r="A195" s="21" t="str">
        <x:v>STC-SINGLETON-SCR-01105</x:v>
      </x:c>
      <x:c r="B195" s="21" t="str">
        <x:v>SCR-01105</x:v>
      </x:c>
      <x:c r="C195" s="21" t="str">
        <x:v>OISAC_SCR01105</x:v>
      </x:c>
      <x:c r="D195" s="21" t="str">
        <x:v>OISAC_SCR01105</x:v>
      </x:c>
      <x:c r="E195" s="21" t="str"/>
      <x:c r="F195" s="21" t="str">
        <x:v>OISAC_SCR01105</x:v>
      </x:c>
      <x:c r="G195" s="21" t="str">
        <x:v>\cite{OISAC_SCR01105}</x:v>
      </x:c>
      <x:c r="H195" s="21" t="str">
        <x:v>Wang et al. (2026)</x:v>
      </x:c>
      <x:c r="I195" s="21" t="str">
        <x:v>Integrated secure communication and sensing based on simultaneous chaotic encryption and vibration detection with an RE-LFM signal</x:v>
      </x:c>
      <x:c r="J195" s="23" t="str">
        <x:v>2026</x:v>
      </x:c>
      <x:c r="K195" s="21" t="str">
        <x:v>Journal of Optical Communications and Networking</x:v>
      </x:c>
      <x:c r="L195" s="21" t="str">
        <x:v>10.1364/jocn.583189</x:v>
      </x:c>
      <x:c r="M195" s="21" t="str">
        <x:v>RPT-SCR-01105-01</x:v>
      </x:c>
      <x:c r="N195" s="23" t="str">
        <x:v>1</x:v>
      </x:c>
      <x:c r="O195" s="23" t="str">
        <x:v>0</x:v>
      </x:c>
      <x:c r="P195" s="21" t="str">
        <x:v>RPT-SCR-01105-01</x:v>
      </x:c>
      <x:c r="Q195" s="23" t="str">
        <x:v>1</x:v>
      </x:c>
      <x:c r="R195" s="23" t="str">
        <x:v>16</x:v>
      </x:c>
      <x:c r="S195" s="23" t="str">
        <x:v>70</x:v>
      </x:c>
      <x:c r="T195" s="23" t="str">
        <x:v>4</x:v>
      </x:c>
      <x:c r="U195" s="23" t="str">
        <x:v>0</x:v>
      </x:c>
      <x:c r="V195" s="21" t="str"/>
      <x:c r="W195" s="21" t="str">
        <x:v>governed_eligible</x:v>
      </x:c>
      <x:c r="X195" s="21" t="str">
        <x:v>fiber</x:v>
      </x:c>
      <x:c r="Y195" s="21" t="str">
        <x:v>shared_link_or_channel; shared_resource_allocation</x:v>
      </x:c>
      <x:c r="Z195" s="21" t="str">
        <x:v>28_Gbps_OOK_confidential_transmission; two_dimensional_intensity_phase_encryption; chaos_synchronization; mirror_decryption; BER_assessment</x:v>
      </x:c>
      <x:c r="AA195" s="21" t="str">
        <x:v>distributed_vibration_detection; vibration_localization; vibration_frequency_estimation; physical_fiber_attack_monitoring</x:v>
      </x:c>
      <x:c r="AB195" s="21" t="str">
        <x:v>4</x:v>
      </x:c>
      <x:c r="AC195" s="21" t="str">
        <x:v>laboratory_experiment</x:v>
      </x:c>
      <x:c r="AD195" s="21" t="str">
        <x:v>security; environment_monitoring</x:v>
      </x:c>
      <x:c r="AE195" s="21" t="str">
        <x:v>inferred</x:v>
      </x:c>
    </x:row>
    <x:row r="196" ht="42" customHeight="1">
      <x:c r="A196" s="21" t="str">
        <x:v>STC-SINGLETON-SCR-01151</x:v>
      </x:c>
      <x:c r="B196" s="21" t="str">
        <x:v>SCR-01151</x:v>
      </x:c>
      <x:c r="C196" s="21" t="str">
        <x:v>OISAC_SCR01151</x:v>
      </x:c>
      <x:c r="D196" s="21" t="str">
        <x:v>OISAC_SCR01151</x:v>
      </x:c>
      <x:c r="E196" s="21" t="str"/>
      <x:c r="F196" s="21" t="str">
        <x:v>OISAC_SCR01151</x:v>
      </x:c>
      <x:c r="G196" s="21" t="str">
        <x:v>\cite{OISAC_SCR01151}</x:v>
      </x:c>
      <x:c r="H196" s="21" t="str">
        <x:v>Bai et al. (2022)</x:v>
      </x:c>
      <x:c r="I196" s="21" t="str">
        <x:v>Photonic Millimeter-Wave Joint Radar Communication System Using Spectrum-Spreading Phase-Coding</x:v>
      </x:c>
      <x:c r="J196" s="23" t="str">
        <x:v>2022</x:v>
      </x:c>
      <x:c r="K196" s="21" t="str">
        <x:v>IEEE Transactions on Microwave Theory and Techniques</x:v>
      </x:c>
      <x:c r="L196" s="21" t="str">
        <x:v>10.1109/tmtt.2021.3138069</x:v>
      </x:c>
      <x:c r="M196" s="21" t="str">
        <x:v>RPT-SCR-01151-01</x:v>
      </x:c>
      <x:c r="N196" s="23" t="str">
        <x:v>1</x:v>
      </x:c>
      <x:c r="O196" s="23" t="str">
        <x:v>0</x:v>
      </x:c>
      <x:c r="P196" s="21" t="str">
        <x:v>RPT-SCR-01151-01</x:v>
      </x:c>
      <x:c r="Q196" s="23" t="str">
        <x:v>1</x:v>
      </x:c>
      <x:c r="R196" s="23" t="str">
        <x:v>12</x:v>
      </x:c>
      <x:c r="S196" s="23" t="str">
        <x:v>42</x:v>
      </x:c>
      <x:c r="T196" s="23" t="str">
        <x:v>3</x:v>
      </x:c>
      <x:c r="U196" s="23" t="str">
        <x:v>0</x:v>
      </x:c>
      <x:c r="V196" s="21" t="str"/>
      <x:c r="W196" s="21" t="str">
        <x:v>governed_eligible</x:v>
      </x:c>
      <x:c r="X196" s="21" t="str">
        <x:v>photonic_THz</x:v>
      </x:c>
      <x:c r="Y196" s="21" t="str">
        <x:v>shared_waveform; shared_hardware; shared_optical_carrier</x:v>
      </x:c>
      <x:c r="Z196" s="21" t="str">
        <x:v>1_Gbps_wireless_data; despreading_descrambling_demodulation; BER_and_anti_jamming_assessment</x:v>
      </x:c>
      <x:c r="AA196" s="21" t="str">
        <x:v>radar_range_detection; two_target_resolution; pulse_compression; PSR_assessment</x:v>
      </x:c>
      <x:c r="AB196" s="21" t="str">
        <x:v>4</x:v>
      </x:c>
      <x:c r="AC196" s="21" t="str">
        <x:v>laboratory_experiment</x:v>
      </x:c>
      <x:c r="AD196" s="21" t="str">
        <x:v>vehicular</x:v>
      </x:c>
      <x:c r="AE196" s="21" t="str">
        <x:v>inferred</x:v>
      </x:c>
    </x:row>
    <x:row r="197" ht="42" customHeight="1">
      <x:c r="A197" s="21" t="str">
        <x:v>STC-SINGLETON-SCR-01152</x:v>
      </x:c>
      <x:c r="B197" s="21" t="str">
        <x:v>SCR-01152</x:v>
      </x:c>
      <x:c r="C197" s="21" t="str">
        <x:v>OISAC_SCR01152</x:v>
      </x:c>
      <x:c r="D197" s="21" t="str">
        <x:v>OISAC_SCR01152</x:v>
      </x:c>
      <x:c r="E197" s="21" t="str"/>
      <x:c r="F197" s="21" t="str">
        <x:v>OISAC_SCR01152</x:v>
      </x:c>
      <x:c r="G197" s="21" t="str">
        <x:v>\cite{OISAC_SCR01152}</x:v>
      </x:c>
      <x:c r="H197" s="21" t="str">
        <x:v>Fang et al. (2023)</x:v>
      </x:c>
      <x:c r="I197" s="21" t="str">
        <x:v>On-Chip Photonic MMW Joint Communication and Radar System</x:v>
      </x:c>
      <x:c r="J197" s="23" t="str">
        <x:v>2023</x:v>
      </x:c>
      <x:c r="K197" s="21" t="str">
        <x:v>2023 International Topical Meeting on Microwave Photonics (MWP)</x:v>
      </x:c>
      <x:c r="L197" s="21" t="str">
        <x:v>10.1109/mwp58203.2023.10416619</x:v>
      </x:c>
      <x:c r="M197" s="21" t="str">
        <x:v>RPT-SCR-01152-01</x:v>
      </x:c>
      <x:c r="N197" s="23" t="str">
        <x:v>1</x:v>
      </x:c>
      <x:c r="O197" s="23" t="str">
        <x:v>0</x:v>
      </x:c>
      <x:c r="P197" s="21" t="str">
        <x:v>RPT-SCR-01152-01</x:v>
      </x:c>
      <x:c r="Q197" s="23" t="str">
        <x:v>1</x:v>
      </x:c>
      <x:c r="R197" s="23" t="str">
        <x:v>12</x:v>
      </x:c>
      <x:c r="S197" s="23" t="str">
        <x:v>38</x:v>
      </x:c>
      <x:c r="T197" s="23" t="str">
        <x:v>2</x:v>
      </x:c>
      <x:c r="U197" s="23" t="str">
        <x:v>0</x:v>
      </x:c>
      <x:c r="V197" s="21" t="str"/>
      <x:c r="W197" s="21" t="str">
        <x:v>governed_eligible</x:v>
      </x:c>
      <x:c r="X197" s="21" t="str">
        <x:v>photonic_THz</x:v>
      </x:c>
      <x:c r="Y197" s="21" t="str">
        <x:v>shared_hardware; shared_resource_allocation</x:v>
      </x:c>
      <x:c r="Z197" s="21" t="str">
        <x:v>4_16_64QAM_wireless_transmission; 36_Gbps_data; BER_assessment_without_FOE_CPE</x:v>
      </x:c>
      <x:c r="AA197" s="21" t="str">
        <x:v>single_target_ranging; dual_target_range_resolution; photonic_dechirping</x:v>
      </x:c>
      <x:c r="AB197" s="21" t="str">
        <x:v>4</x:v>
      </x:c>
      <x:c r="AC197" s="21" t="str">
        <x:v>laboratory_experiment</x:v>
      </x:c>
      <x:c r="AD197" s="21" t="str">
        <x:v>6G_access; smart_infrastructure</x:v>
      </x:c>
      <x:c r="AE197" s="21" t="str">
        <x:v>direct</x:v>
      </x:c>
    </x:row>
    <x:row r="198" ht="42" customHeight="1">
      <x:c r="A198" s="21" t="str">
        <x:v>STC-SINGLETON-SCR-01153</x:v>
      </x:c>
      <x:c r="B198" s="21" t="str">
        <x:v>SCR-01153</x:v>
      </x:c>
      <x:c r="C198" s="21" t="str">
        <x:v>OISAC_SCR01153</x:v>
      </x:c>
      <x:c r="D198" s="21" t="str">
        <x:v>OISAC_SCR01153</x:v>
      </x:c>
      <x:c r="E198" s="21" t="str"/>
      <x:c r="F198" s="21" t="str">
        <x:v>OISAC_SCR01153</x:v>
      </x:c>
      <x:c r="G198" s="21" t="str">
        <x:v>\cite{OISAC_SCR01153}</x:v>
      </x:c>
      <x:c r="H198" s="21" t="str">
        <x:v>Chen et al. (2025)</x:v>
      </x:c>
      <x:c r="I198" s="21" t="str">
        <x:v>Photonic-Assisted Joint Radar and Communication System Using Overlapped Spectrum for High-Resolution Ranging and High-Speed Data Transmission</x:v>
      </x:c>
      <x:c r="J198" s="23" t="str">
        <x:v>2025</x:v>
      </x:c>
      <x:c r="K198" s="21" t="str">
        <x:v>IEEE Transactions on Microwave Theory and Techniques</x:v>
      </x:c>
      <x:c r="L198" s="21" t="str">
        <x:v>10.1109/tmtt.2025.3556855</x:v>
      </x:c>
      <x:c r="M198" s="21" t="str">
        <x:v>RPT-SCR-01153-01</x:v>
      </x:c>
      <x:c r="N198" s="23" t="str">
        <x:v>1</x:v>
      </x:c>
      <x:c r="O198" s="23" t="str">
        <x:v>0</x:v>
      </x:c>
      <x:c r="P198" s="21" t="str">
        <x:v>RPT-SCR-01153-01</x:v>
      </x:c>
      <x:c r="Q198" s="23" t="str">
        <x:v>1</x:v>
      </x:c>
      <x:c r="R198" s="23" t="str">
        <x:v>13</x:v>
      </x:c>
      <x:c r="S198" s="23" t="str">
        <x:v>42</x:v>
      </x:c>
      <x:c r="T198" s="23" t="str">
        <x:v>3</x:v>
      </x:c>
      <x:c r="U198" s="23" t="str">
        <x:v>0</x:v>
      </x:c>
      <x:c r="V198" s="21" t="str"/>
      <x:c r="W198" s="21" t="str">
        <x:v>governed_eligible</x:v>
      </x:c>
      <x:c r="X198" s="21" t="str">
        <x:v>photonic_THz</x:v>
      </x:c>
      <x:c r="Y198" s="21" t="str">
        <x:v>shared_hardware; shared_resource_allocation</x:v>
      </x:c>
      <x:c r="Z198" s="21" t="str">
        <x:v>BPSK_QPSK_wireless_transmission; LO_free_recovery; EVM_BER_assessment</x:v>
      </x:c>
      <x:c r="AA198" s="21" t="str">
        <x:v>two_target_ranging; range_resolution; range_accuracy; radar_dechirping</x:v>
      </x:c>
      <x:c r="AB198" s="21" t="str">
        <x:v>4</x:v>
      </x:c>
      <x:c r="AC198" s="21" t="str">
        <x:v>laboratory_experiment</x:v>
      </x:c>
      <x:c r="AD198" s="21" t="str">
        <x:v>6G_access</x:v>
      </x:c>
      <x:c r="AE198" s="21" t="str">
        <x:v>direct</x:v>
      </x:c>
    </x:row>
    <x:row r="199" ht="42" customHeight="1">
      <x:c r="A199" s="21" t="str">
        <x:v>STC-SINGLETON-SCR-01165</x:v>
      </x:c>
      <x:c r="B199" s="21" t="str">
        <x:v>SCR-01165</x:v>
      </x:c>
      <x:c r="C199" s="21" t="str">
        <x:v>OISAC_SCR01165</x:v>
      </x:c>
      <x:c r="D199" s="21" t="str">
        <x:v>OISAC_SCR01165</x:v>
      </x:c>
      <x:c r="E199" s="21" t="str"/>
      <x:c r="F199" s="21" t="str">
        <x:v>OISAC_SCR01165</x:v>
      </x:c>
      <x:c r="G199" s="21" t="str">
        <x:v>\cite{OISAC_SCR01165}</x:v>
      </x:c>
      <x:c r="H199" s="21" t="str">
        <x:v>Bo (2024)</x:v>
      </x:c>
      <x:c r="I199" s="21" t="str">
        <x:v>Joint radar and communication system based on a chaotic optoelectronic oscillator</x:v>
      </x:c>
      <x:c r="J199" s="23" t="str">
        <x:v>2024</x:v>
      </x:c>
      <x:c r="K199" s="21" t="str">
        <x:v>Optics Communications</x:v>
      </x:c>
      <x:c r="L199" s="21" t="str">
        <x:v>10.1016/j.optcom.2023.130123</x:v>
      </x:c>
      <x:c r="M199" s="21" t="str">
        <x:v>RPT-SCR-01165-01</x:v>
      </x:c>
      <x:c r="N199" s="23" t="str">
        <x:v>1</x:v>
      </x:c>
      <x:c r="O199" s="23" t="str">
        <x:v>0</x:v>
      </x:c>
      <x:c r="P199" s="21" t="str">
        <x:v>RPT-SCR-01165-01</x:v>
      </x:c>
      <x:c r="Q199" s="23" t="str">
        <x:v>1</x:v>
      </x:c>
      <x:c r="R199" s="23" t="str">
        <x:v>11</x:v>
      </x:c>
      <x:c r="S199" s="23" t="str">
        <x:v>34</x:v>
      </x:c>
      <x:c r="T199" s="23" t="str">
        <x:v>2</x:v>
      </x:c>
      <x:c r="U199" s="23" t="str">
        <x:v>0</x:v>
      </x:c>
      <x:c r="V199" s="21" t="str"/>
      <x:c r="W199" s="21" t="str">
        <x:v>governed_eligible</x:v>
      </x:c>
      <x:c r="X199" s="21" t="str">
        <x:v>photonic_THz</x:v>
      </x:c>
      <x:c r="Y199" s="21" t="str">
        <x:v>shared_waveform; joint_design_or_optimization</x:v>
      </x:c>
      <x:c r="Z199" s="21" t="str">
        <x:v>125_Mbit_s_OOK_wireless_transmission; envelope_detection</x:v>
      </x:c>
      <x:c r="AA199" s="21" t="str">
        <x:v>chaotic_radar_ranging; range_resolution; target_localization</x:v>
      </x:c>
      <x:c r="AB199" s="21" t="str">
        <x:v>4</x:v>
      </x:c>
      <x:c r="AC199" s="21" t="str">
        <x:v>laboratory_experiment</x:v>
      </x:c>
      <x:c r="AD199" s="21" t="str">
        <x:v>indoor_positioning</x:v>
      </x:c>
      <x:c r="AE199" s="21" t="str">
        <x:v>inferred</x:v>
      </x:c>
    </x:row>
    <x:row r="200" ht="42" customHeight="1">
      <x:c r="A200" s="21" t="str">
        <x:v>STC-SINGLETON-SCR-01180</x:v>
      </x:c>
      <x:c r="B200" s="21" t="str">
        <x:v>SCR-01180</x:v>
      </x:c>
      <x:c r="C200" s="21" t="str">
        <x:v>OISAC_SCR01180</x:v>
      </x:c>
      <x:c r="D200" s="21" t="str">
        <x:v>OISAC_SCR01180</x:v>
      </x:c>
      <x:c r="E200" s="21" t="str"/>
      <x:c r="F200" s="21" t="str">
        <x:v>OISAC_SCR01180</x:v>
      </x:c>
      <x:c r="G200" s="21" t="str">
        <x:v>\cite{OISAC_SCR01180}</x:v>
      </x:c>
      <x:c r="H200" s="21" t="str">
        <x:v>Xiaohui (2026)</x:v>
      </x:c>
      <x:c r="I200" s="21" t="str">
        <x:v>Optical fiber communication and distributed multi-parameter sensing integrated network for smart power grid applications</x:v>
      </x:c>
      <x:c r="J200" s="23" t="str">
        <x:v>2026</x:v>
      </x:c>
      <x:c r="K200" s="21" t="str">
        <x:v>Science China Information Sciences</x:v>
      </x:c>
      <x:c r="L200" s="21" t="str">
        <x:v>10.1007/s11432-025-4916-4</x:v>
      </x:c>
      <x:c r="M200" s="21" t="str">
        <x:v>RPT-SCR-01180-01</x:v>
      </x:c>
      <x:c r="N200" s="23" t="str">
        <x:v>1</x:v>
      </x:c>
      <x:c r="O200" s="23" t="str">
        <x:v>0</x:v>
      </x:c>
      <x:c r="P200" s="21" t="str">
        <x:v>RPT-SCR-01180-01</x:v>
      </x:c>
      <x:c r="Q200" s="23" t="str">
        <x:v>1</x:v>
      </x:c>
      <x:c r="R200" s="23" t="str">
        <x:v>14</x:v>
      </x:c>
      <x:c r="S200" s="23" t="str">
        <x:v>57</x:v>
      </x:c>
      <x:c r="T200" s="23" t="str">
        <x:v>3</x:v>
      </x:c>
      <x:c r="U200" s="23" t="str">
        <x:v>0</x:v>
      </x:c>
      <x:c r="V200" s="21" t="str"/>
      <x:c r="W200" s="21" t="str">
        <x:v>governed_eligible</x:v>
      </x:c>
      <x:c r="X200" s="21" t="str">
        <x:v>fiber</x:v>
      </x:c>
      <x:c r="Y200" s="21" t="str">
        <x:v>shared_link_or_channel; shared_resource_allocation; shared_application_scenario</x:v>
      </x:c>
      <x:c r="Z200" s="21" t="str">
        <x:v>100_Gbit_s_per_channel_PM_QPSK_coherent_OTN; 100GE_transport; 88_channel_DWDM</x:v>
      </x:c>
      <x:c r="AA200" s="21" t="str">
        <x:v>distributed_temperature; distributed_strain; distributed_vibration; ice_thickness_estimation; DC_deicing_monitoring; fiber_splice_localization</x:v>
      </x:c>
      <x:c r="AB200" s="21" t="str">
        <x:v>6</x:v>
      </x:c>
      <x:c r="AC200" s="21" t="str">
        <x:v>analytical; laboratory_experiment; field_experiment</x:v>
      </x:c>
      <x:c r="AD200" s="21" t="str">
        <x:v>environment_monitoring; optical_access_network</x:v>
      </x:c>
      <x:c r="AE200" s="21" t="str">
        <x:v>direct</x:v>
      </x:c>
    </x:row>
    <x:row r="201" ht="42" customHeight="1">
      <x:c r="A201" s="21" t="str">
        <x:v>STC-SINGLETON-SCR-01188</x:v>
      </x:c>
      <x:c r="B201" s="21" t="str">
        <x:v>SCR-01188</x:v>
      </x:c>
      <x:c r="C201" s="21" t="str">
        <x:v>OISAC_SCR01188</x:v>
      </x:c>
      <x:c r="D201" s="21" t="str">
        <x:v>OISAC_SCR01188</x:v>
      </x:c>
      <x:c r="E201" s="21" t="str"/>
      <x:c r="F201" s="21" t="str">
        <x:v>OISAC_SCR01188</x:v>
      </x:c>
      <x:c r="G201" s="21" t="str">
        <x:v>\cite{OISAC_SCR01188}</x:v>
      </x:c>
      <x:c r="H201" s="21" t="str">
        <x:v>Rong (2026)</x:v>
      </x:c>
      <x:c r="I201" s="21" t="str">
        <x:v>Seamless integration of distributed acoustic sensing and passive optical networks for human intrusion monitoring</x:v>
      </x:c>
      <x:c r="J201" s="23" t="str">
        <x:v>2026</x:v>
      </x:c>
      <x:c r="K201" s="21" t="str">
        <x:v>Communications Engineering</x:v>
      </x:c>
      <x:c r="L201" s="21" t="str">
        <x:v>10.1038/s44172-026-00662-z</x:v>
      </x:c>
      <x:c r="M201" s="21" t="str">
        <x:v>RPT-SCR-01188-01</x:v>
      </x:c>
      <x:c r="N201" s="23" t="str">
        <x:v>1</x:v>
      </x:c>
      <x:c r="O201" s="23" t="str">
        <x:v>0</x:v>
      </x:c>
      <x:c r="P201" s="21" t="str">
        <x:v>RPT-SCR-01188-01</x:v>
      </x:c>
      <x:c r="Q201" s="23" t="str">
        <x:v>1</x:v>
      </x:c>
      <x:c r="R201" s="23" t="str">
        <x:v>15</x:v>
      </x:c>
      <x:c r="S201" s="23" t="str">
        <x:v>51</x:v>
      </x:c>
      <x:c r="T201" s="23" t="str">
        <x:v>4</x:v>
      </x:c>
      <x:c r="U201" s="23" t="str">
        <x:v>0</x:v>
      </x:c>
      <x:c r="V201" s="21" t="str"/>
      <x:c r="W201" s="21" t="str">
        <x:v>governed_eligible</x:v>
      </x:c>
      <x:c r="X201" s="21" t="str">
        <x:v>fiber</x:v>
      </x:c>
      <x:c r="Y201" s="21" t="str">
        <x:v>shared_resource_allocation</x:v>
      </x:c>
      <x:c r="Z201" s="21" t="str">
        <x:v>10_Gbit_s_32QAM_OFDM_PON; IM_DD_reception; BER_vs_power_and_sweep_bandwidth</x:v>
      </x:c>
      <x:c r="AA201" s="21" t="str">
        <x:v>distributed_acoustic_sensing; dynamic_strain_detection; human_intrusion_detection; TDOA_localization; rockfall_pedestrian_vehicle_monitoring</x:v>
      </x:c>
      <x:c r="AB201" s="21" t="str">
        <x:v>6</x:v>
      </x:c>
      <x:c r="AC201" s="21" t="str">
        <x:v>analytical; laboratory_experiment; field_experiment</x:v>
      </x:c>
      <x:c r="AD201" s="21" t="str">
        <x:v>security; environment_monitoring; smart_infrastructure</x:v>
      </x:c>
      <x:c r="AE201" s="21" t="str">
        <x:v>inferred</x:v>
      </x:c>
    </x:row>
    <x:row r="202" ht="42" customHeight="1">
      <x:c r="A202" s="21" t="str">
        <x:v>STC-SINGLETON-SCR-01229</x:v>
      </x:c>
      <x:c r="B202" s="21" t="str">
        <x:v>SCR-01229</x:v>
      </x:c>
      <x:c r="C202" s="21" t="str">
        <x:v>OISAC_SCR01229</x:v>
      </x:c>
      <x:c r="D202" s="21" t="str">
        <x:v>OISAC_SCR01229</x:v>
      </x:c>
      <x:c r="E202" s="21" t="str"/>
      <x:c r="F202" s="21" t="str">
        <x:v>OISAC_SCR01229</x:v>
      </x:c>
      <x:c r="G202" s="21" t="str">
        <x:v>\cite{OISAC_SCR01229}</x:v>
      </x:c>
      <x:c r="H202" s="21" t="str">
        <x:v>Yixiao (2024)</x:v>
      </x:c>
      <x:c r="I202" s="21" t="str">
        <x:v>Photonic generation of frequency agile LFM signals for ISAC systems</x:v>
      </x:c>
      <x:c r="J202" s="23" t="str">
        <x:v>2024</x:v>
      </x:c>
      <x:c r="K202" s="21" t="str">
        <x:v>Optical and Quantum Electronics</x:v>
      </x:c>
      <x:c r="L202" s="21" t="str">
        <x:v>10.1007/s11082-024-07751-3</x:v>
      </x:c>
      <x:c r="M202" s="21" t="str">
        <x:v>RPT-SCR-01229-01</x:v>
      </x:c>
      <x:c r="N202" s="23" t="str">
        <x:v>1</x:v>
      </x:c>
      <x:c r="O202" s="23" t="str">
        <x:v>0</x:v>
      </x:c>
      <x:c r="P202" s="21" t="str">
        <x:v>RPT-SCR-01229-01</x:v>
      </x:c>
      <x:c r="Q202" s="23" t="str">
        <x:v>1</x:v>
      </x:c>
      <x:c r="R202" s="23" t="str">
        <x:v>14</x:v>
      </x:c>
      <x:c r="S202" s="23" t="str">
        <x:v>8</x:v>
      </x:c>
      <x:c r="T202" s="23" t="str">
        <x:v>0</x:v>
      </x:c>
      <x:c r="U202" s="23" t="str">
        <x:v>0</x:v>
      </x:c>
      <x:c r="V202" s="21" t="str"/>
      <x:c r="W202" s="21" t="str">
        <x:v>governed_eligible</x:v>
      </x:c>
      <x:c r="X202" s="21" t="str">
        <x:v>hybrid_optical</x:v>
      </x:c>
      <x:c r="Y202" s="21" t="str">
        <x:v>shared_waveform; shared_hardware; joint_design_or_optimization</x:v>
      </x:c>
      <x:c r="Z202" s="21" t="str">
        <x:v>data_transmission; anti_jamming_frequency_agility</x:v>
      </x:c>
      <x:c r="AA202" s="21" t="str">
        <x:v>target_ranging; multi_target_range_resolution</x:v>
      </x:c>
      <x:c r="AB202" s="21" t="str">
        <x:v>4</x:v>
      </x:c>
      <x:c r="AC202" s="21" t="str">
        <x:v>analytical; simulation; laboratory_experiment; mixed</x:v>
      </x:c>
      <x:c r="AD202" s="21" t="str">
        <x:v>6G_access</x:v>
      </x:c>
      <x:c r="AE202" s="21" t="str">
        <x:v>direct</x:v>
      </x:c>
    </x:row>
    <x:row r="203" ht="42" customHeight="1">
      <x:c r="A203" s="21" t="str">
        <x:v>STC-SUBCARRIER-CHIRP-DBAND-2025</x:v>
      </x:c>
      <x:c r="B203" s="21" t="str">
        <x:v>SCR-00981</x:v>
      </x:c>
      <x:c r="C203" s="21" t="str">
        <x:v>OISAC_SCR00981</x:v>
      </x:c>
      <x:c r="D203" s="21" t="str">
        <x:v>OISAC_SCR00981</x:v>
      </x:c>
      <x:c r="E203" s="21" t="str">
        <x:v>OISAC_SCR01017</x:v>
      </x:c>
      <x:c r="F203" s="21" t="str">
        <x:v>OISAC_SCR00981; OISAC_SCR01017</x:v>
      </x:c>
      <x:c r="G203" s="21" t="str">
        <x:v>\cite{OISAC_SCR00981,OISAC_SCR01017}</x:v>
      </x:c>
      <x:c r="H203" s="21" t="str">
        <x:v>Zhang et al. (2025)</x:v>
      </x:c>
      <x:c r="I203" s="21" t="str">
        <x:v>Photonics-Aided THz Integrated Sensing and Communication System Based on a Subcarrier-Chirp Inter-Embedded Waveform</x:v>
      </x:c>
      <x:c r="J203" s="23" t="str">
        <x:v>2025</x:v>
      </x:c>
      <x:c r="K203" s="21" t="str">
        <x:v>IEEE Open Journal of the Communications Society</x:v>
      </x:c>
      <x:c r="L203" s="21" t="str">
        <x:v>10.1109/ojcoms.2025.3545896</x:v>
      </x:c>
      <x:c r="M203" s="21" t="str">
        <x:v>RPT-SCR-00981-01</x:v>
      </x:c>
      <x:c r="N203" s="23" t="str">
        <x:v>2</x:v>
      </x:c>
      <x:c r="O203" s="23" t="str">
        <x:v>1</x:v>
      </x:c>
      <x:c r="P203" s="21" t="str">
        <x:v>RPT-SCR-00981-01; RPT-SCR-01017-01</x:v>
      </x:c>
      <x:c r="Q203" s="23" t="str">
        <x:v>2</x:v>
      </x:c>
      <x:c r="R203" s="23" t="str">
        <x:v>18</x:v>
      </x:c>
      <x:c r="S203" s="23" t="str">
        <x:v>35</x:v>
      </x:c>
      <x:c r="T203" s="23" t="str">
        <x:v>4</x:v>
      </x:c>
      <x:c r="U203" s="23" t="str">
        <x:v>0</x:v>
      </x:c>
      <x:c r="V203" s="21" t="str"/>
      <x:c r="W203" s="21" t="str">
        <x:v>governed_eligible</x:v>
      </x:c>
      <x:c r="X203" s="21" t="str">
        <x:v>photonic_THz</x:v>
      </x:c>
      <x:c r="Y203" s="21" t="str">
        <x:v>shared_optical_carrier; shared_resource_allocation</x:v>
      </x:c>
      <x:c r="Z203" s="21" t="str">
        <x:v>high_rate_wireless_QAM_transmission; subcarrier_synchronization; BER_evaluation</x:v>
      </x:c>
      <x:c r="AA203" s="21" t="str">
        <x:v>static_multi_target_ranging; range_resolution_evaluation; two_dimensional_range_velocity_imaging</x:v>
      </x:c>
      <x:c r="AB203" s="21" t="str">
        <x:v>4</x:v>
      </x:c>
      <x:c r="AC203" s="21" t="str">
        <x:v>analytical; laboratory_experiment; prototype_testbed</x:v>
      </x:c>
      <x:c r="AD203" s="21" t="str">
        <x:v>6G_access; optical_access_network</x:v>
      </x:c>
      <x:c r="AE203" s="21" t="str">
        <x:v>direct</x:v>
      </x:c>
    </x:row>
    <x:row r="204" ht="42" customHeight="1">
      <x:c r="A204" s="21" t="str">
        <x:v>STC-SUBMARINE-CABLE-DAS-HUIZHOU-2022-2026</x:v>
      </x:c>
      <x:c r="B204" s="21" t="str">
        <x:v>SCR-00957</x:v>
      </x:c>
      <x:c r="C204" s="21" t="str">
        <x:v>OISAC_SCR00957</x:v>
      </x:c>
      <x:c r="D204" s="21" t="str">
        <x:v>OISAC_SCR00957</x:v>
      </x:c>
      <x:c r="E204" s="21" t="str"/>
      <x:c r="F204" s="21" t="str">
        <x:v>OISAC_SCR00957</x:v>
      </x:c>
      <x:c r="G204" s="21" t="str">
        <x:v>\cite{OISAC_SCR00957}</x:v>
      </x:c>
      <x:c r="H204" s="21" t="str">
        <x:v>Chen et al. (2022)</x:v>
      </x:c>
      <x:c r="I204" s="21" t="str">
        <x:v>Photonic Integrated Sensing and Communication System Harnessing Submarine Fiber Optic Cables for Coastal Event Monitoring</x:v>
      </x:c>
      <x:c r="J204" s="23" t="str">
        <x:v>2022</x:v>
      </x:c>
      <x:c r="K204" s="21" t="str">
        <x:v>IEEE Communications Magazine</x:v>
      </x:c>
      <x:c r="L204" s="21" t="str">
        <x:v>10.1109/mcom.002.2200191</x:v>
      </x:c>
      <x:c r="M204" s="21" t="str">
        <x:v>RPT-SCR-00957-01</x:v>
      </x:c>
      <x:c r="N204" s="23" t="str">
        <x:v>1</x:v>
      </x:c>
      <x:c r="O204" s="23" t="str">
        <x:v>0</x:v>
      </x:c>
      <x:c r="P204" s="21" t="str">
        <x:v>RPT-SCR-00957-01</x:v>
      </x:c>
      <x:c r="Q204" s="23" t="str">
        <x:v>1</x:v>
      </x:c>
      <x:c r="R204" s="23" t="str">
        <x:v>17</x:v>
      </x:c>
      <x:c r="S204" s="23" t="str">
        <x:v>29</x:v>
      </x:c>
      <x:c r="T204" s="23" t="str">
        <x:v>3</x:v>
      </x:c>
      <x:c r="U204" s="23" t="str">
        <x:v>0</x:v>
      </x:c>
      <x:c r="V204" s="21" t="str"/>
      <x:c r="W204" s="21" t="str">
        <x:v>governed_eligible</x:v>
      </x:c>
      <x:c r="X204" s="21" t="str">
        <x:v>fiber</x:v>
      </x:c>
      <x:c r="Y204" s="21" t="str">
        <x:v>shared_link_or_channel; shared_resource_allocation</x:v>
      </x:c>
      <x:c r="Z204" s="21" t="str">
        <x:v>ongoing_commercial_optical_data_transport; sensing_data_backhaul_to_control_office</x:v>
      </x:c>
      <x:c r="AA204" s="21" t="str">
        <x:v>distributed_acoustic_and_vibration_sensing; ocean_wave_analysis; earthquake_detection; microseism_monitoring; ferry_activity_monitoring</x:v>
      </x:c>
      <x:c r="AB204" s="21" t="str">
        <x:v>6</x:v>
      </x:c>
      <x:c r="AC204" s="21" t="str">
        <x:v>dataset_based; field_experiment</x:v>
      </x:c>
      <x:c r="AD204" s="21" t="str">
        <x:v>environment_monitoring</x:v>
      </x:c>
      <x:c r="AE204" s="21" t="str">
        <x:v>direct</x:v>
      </x:c>
    </x:row>
    <x:row r="205" ht="42" customHeight="1">
      <x:c r="A205" s="21" t="str">
        <x:v>STC-TUNABLE-LASER-THZ-FMCW-2025-2026</x:v>
      </x:c>
      <x:c r="B205" s="21" t="str">
        <x:v>SCR-00083</x:v>
      </x:c>
      <x:c r="C205" s="21" t="str">
        <x:v>OISAC_SCR00083</x:v>
      </x:c>
      <x:c r="D205" s="21" t="str">
        <x:v>OISAC_SCR00083</x:v>
      </x:c>
      <x:c r="E205" s="21" t="str">
        <x:v>OISAC_SCR00553</x:v>
      </x:c>
      <x:c r="F205" s="21" t="str">
        <x:v>OISAC_SCR00083; OISAC_SCR00553</x:v>
      </x:c>
      <x:c r="G205" s="21" t="str">
        <x:v>\cite{OISAC_SCR00083,OISAC_SCR00553}</x:v>
      </x:c>
      <x:c r="H205" s="21" t="str">
        <x:v>Kaide et al. (2026)</x:v>
      </x:c>
      <x:c r="I205" s="21" t="str">
        <x:v>Terahertz ISAC with Simultaneous Fast-Swept FMCW Radar and High-Speed Wireless Link Using a Single UTC-PD</x:v>
      </x:c>
      <x:c r="J205" s="23" t="str">
        <x:v>2026</x:v>
      </x:c>
      <x:c r="K205" s="21" t="str">
        <x:v>Electronics (Switzerland)</x:v>
      </x:c>
      <x:c r="L205" s="21" t="str">
        <x:v>10.3390/electronics15081608</x:v>
      </x:c>
      <x:c r="M205" s="21" t="str">
        <x:v>RPT-SCR-00083-01</x:v>
      </x:c>
      <x:c r="N205" s="23" t="str">
        <x:v>2</x:v>
      </x:c>
      <x:c r="O205" s="23" t="str">
        <x:v>1</x:v>
      </x:c>
      <x:c r="P205" s="21" t="str">
        <x:v>RPT-SCR-00083-01; RPT-SCR-00553-01</x:v>
      </x:c>
      <x:c r="Q205" s="23" t="str">
        <x:v>2</x:v>
      </x:c>
      <x:c r="R205" s="23" t="str">
        <x:v>59</x:v>
      </x:c>
      <x:c r="S205" s="23" t="str">
        <x:v>45</x:v>
      </x:c>
      <x:c r="T205" s="23" t="str">
        <x:v>4</x:v>
      </x:c>
      <x:c r="U205" s="23" t="str">
        <x:v>23</x:v>
      </x:c>
      <x:c r="V205" s="21" t="str"/>
      <x:c r="W205" s="21" t="str">
        <x:v>governed_eligible</x:v>
      </x:c>
      <x:c r="X205" s="21" t="str">
        <x:v>photonic_THz</x:v>
      </x:c>
      <x:c r="Y205" s="21" t="str">
        <x:v>shared_waveform; shared_resource_allocation; joint_design_or_optimization</x:v>
      </x:c>
      <x:c r="Z205" s="21" t="str">
        <x:v>data_transmission</x:v>
      </x:c>
      <x:c r="AA205" s="21" t="str">
        <x:v>ranging</x:v>
      </x:c>
      <x:c r="AB205" s="21" t="str">
        <x:v>4</x:v>
      </x:c>
      <x:c r="AC205" s="21" t="str">
        <x:v>laboratory_experiment</x:v>
      </x:c>
      <x:c r="AD205" s="21" t="str">
        <x:v>6G_access</x:v>
      </x:c>
      <x:c r="AE205" s="21" t="str">
        <x:v>direct</x:v>
      </x:c>
    </x:row>
    <x:row r="206" ht="42" customHeight="1">
      <x:c r="A206" s="21" t="str">
        <x:v>STC-WBAND-POLARIZATION-JRC-2023-2025</x:v>
      </x:c>
      <x:c r="B206" s="21" t="str">
        <x:v>SCR-01075</x:v>
      </x:c>
      <x:c r="C206" s="21" t="str">
        <x:v>OISAC_SCR01075</x:v>
      </x:c>
      <x:c r="D206" s="21" t="str">
        <x:v>OISAC_SCR01075</x:v>
      </x:c>
      <x:c r="E206" s="21" t="str">
        <x:v>OISAC_SCR00886</x:v>
      </x:c>
      <x:c r="F206" s="21" t="str">
        <x:v>OISAC_SCR01075; OISAC_SCR00886</x:v>
      </x:c>
      <x:c r="G206" s="21" t="str">
        <x:v>\cite{OISAC_SCR01075,OISAC_SCR00886}</x:v>
      </x:c>
      <x:c r="H206" s="21" t="str">
        <x:v>Lei et al. (2023)</x:v>
      </x:c>
      <x:c r="I206" s="21" t="str">
        <x:v>Integration of Sensing and Communication in a W-Band Fiber-Wireless Link Enabled by Electromagnetic Polarization Multiplexing</x:v>
      </x:c>
      <x:c r="J206" s="23" t="str">
        <x:v>2023</x:v>
      </x:c>
      <x:c r="K206" s="21" t="str">
        <x:v>Journal of Lightwave Technology</x:v>
      </x:c>
      <x:c r="L206" s="21" t="str">
        <x:v>10.1109/jlt.2023.3280388</x:v>
      </x:c>
      <x:c r="M206" s="21" t="str">
        <x:v>RPT-SCR-01075-01</x:v>
      </x:c>
      <x:c r="N206" s="23" t="str">
        <x:v>2</x:v>
      </x:c>
      <x:c r="O206" s="23" t="str">
        <x:v>1</x:v>
      </x:c>
      <x:c r="P206" s="21" t="str">
        <x:v>RPT-SCR-01075-01; RPT-SCR-00886-01</x:v>
      </x:c>
      <x:c r="Q206" s="23" t="str">
        <x:v>2</x:v>
      </x:c>
      <x:c r="R206" s="23" t="str">
        <x:v>14</x:v>
      </x:c>
      <x:c r="S206" s="23" t="str">
        <x:v>50</x:v>
      </x:c>
      <x:c r="T206" s="23" t="str">
        <x:v>3</x:v>
      </x:c>
      <x:c r="U206" s="23" t="str">
        <x:v>0</x:v>
      </x:c>
      <x:c r="V206" s="21" t="str"/>
      <x:c r="W206" s="21" t="str">
        <x:v>governed_eligible</x:v>
      </x:c>
      <x:c r="X206" s="21" t="str">
        <x:v>photonic_THz</x:v>
      </x:c>
      <x:c r="Y206" s="21" t="str">
        <x:v>shared_hardware; shared_resource_allocation</x:v>
      </x:c>
      <x:c r="Z206" s="21" t="str">
        <x:v>W_band_downlink_16QAM; BER_vs_carrier_IF_and_ROP; 46_and_92_Gbit_per_s_modes</x:v>
      </x:c>
      <x:c r="AA206" s="21" t="str">
        <x:v>LFMCW_ranging; dual_target_radial_resolution; sensing_SNR_vs_carrier_and_ROP</x:v>
      </x:c>
      <x:c r="AB206" s="21" t="str">
        <x:v>4</x:v>
      </x:c>
      <x:c r="AC206" s="21" t="str">
        <x:v>laboratory_experiment</x:v>
      </x:c>
      <x:c r="AD206" s="21" t="str">
        <x:v>optical_access_network</x:v>
      </x:c>
      <x:c r="AE206" s="21" t="str">
        <x:v>direct</x:v>
      </x:c>
    </x:row>
    <x:row r="207" ht="42" customHeight="1">
      <x:c r="A207" s="22" t="str">
        <x:v>STC-WBAND-TFDM-DONG-2022-2024</x:v>
      </x:c>
      <x:c r="B207" s="22" t="str">
        <x:v>SCR-00966</x:v>
      </x:c>
      <x:c r="C207" s="22" t="str">
        <x:v>OISAC_SCR00966</x:v>
      </x:c>
      <x:c r="D207" s="22" t="str">
        <x:v>OISAC_SCR00966</x:v>
      </x:c>
      <x:c r="E207" s="22" t="str">
        <x:v>OISAC_SCR00731; OISAC_SCR00784</x:v>
      </x:c>
      <x:c r="F207" s="22" t="str">
        <x:v>OISAC_SCR00966; OISAC_SCR00731; OISAC_SCR00784</x:v>
      </x:c>
      <x:c r="G207" s="22" t="str">
        <x:v>\cite{OISAC_SCR00966,OISAC_SCR00731,OISAC_SCR00784}</x:v>
      </x:c>
      <x:c r="H207" s="22" t="str">
        <x:v>Dong et al. (2024)</x:v>
      </x:c>
      <x:c r="I207" s="22" t="str">
        <x:v>Photonic-Based W-Band Integrated Sensing and Communication System With Flexible Time- Frequency Division Multiplexed Waveforms for Fiber-Wireless Network</x:v>
      </x:c>
      <x:c r="J207" s="24" t="str">
        <x:v>2024</x:v>
      </x:c>
      <x:c r="K207" s="22" t="str">
        <x:v>Journal of Lightwave Technology</x:v>
      </x:c>
      <x:c r="L207" s="22" t="str">
        <x:v>10.1109/jlt.2024.3354070</x:v>
      </x:c>
      <x:c r="M207" s="22" t="str">
        <x:v>RPT-SCR-00966-01</x:v>
      </x:c>
      <x:c r="N207" s="24" t="str">
        <x:v>3</x:v>
      </x:c>
      <x:c r="O207" s="24" t="str">
        <x:v>2</x:v>
      </x:c>
      <x:c r="P207" s="22" t="str">
        <x:v>RPT-SCR-00966-01; RPT-SCR-00731-01; RPT-SCR-00784-01</x:v>
      </x:c>
      <x:c r="Q207" s="24" t="str">
        <x:v>3</x:v>
      </x:c>
      <x:c r="R207" s="24" t="str">
        <x:v>23</x:v>
      </x:c>
      <x:c r="S207" s="24" t="str">
        <x:v>43</x:v>
      </x:c>
      <x:c r="T207" s="24" t="str">
        <x:v>5</x:v>
      </x:c>
      <x:c r="U207" s="24" t="str">
        <x:v>0</x:v>
      </x:c>
      <x:c r="V207" s="22" t="str"/>
      <x:c r="W207" s="22" t="str">
        <x:v>governed_eligible</x:v>
      </x:c>
      <x:c r="X207" s="22" t="str">
        <x:v>photonic_THz</x:v>
      </x:c>
      <x:c r="Y207" s="22" t="str">
        <x:v>shared_link_or_channel; shared_resource_allocation</x:v>
      </x:c>
      <x:c r="Z207" s="22" t="str">
        <x:v>adaptive_high_rate_QAM_transmission; fiber_wireless_access; BER_or_EVM_evaluation</x:v>
      </x:c>
      <x:c r="AA207" s="22" t="str">
        <x:v>radar_ranging; range_resolution_evaluation; multi_target_detection; detection_distance_adaptation</x:v>
      </x:c>
      <x:c r="AB207" s="22" t="str">
        <x:v>4</x:v>
      </x:c>
      <x:c r="AC207" s="22" t="str">
        <x:v>analytical; simulation; laboratory_experiment; prototype_testbed</x:v>
      </x:c>
      <x:c r="AD207" s="22" t="str">
        <x:v>6G_access</x:v>
      </x:c>
      <x:c r="AE207" s="22" t="str">
        <x:v>direct</x:v>
      </x:c>
    </x:row>
  </x:sheetData>
  <x:pageMargins left="0.7" right="0.7" top="0.75" bottom="0.75" header="0.3" footer="0.3"/>
  <x:tableParts count="1">
    <x:tablePart xmlns:r="http://schemas.openxmlformats.org/officeDocument/2006/relationships" r:id="R3ae13a84da3843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48" hidden="0" customWidth="1"/>
  </x:cols>
  <x:sheetData>
    <x:row r="1">
      <x:c r="A1" s="28" t="str">
        <x:v>Study, report, provenance, and guardrail units</x:v>
      </x:c>
      <x:c r="B1" s="28"/>
      <x:c r="C1" s="28"/>
    </x:row>
    <x:row r="2">
      <x:c r="A2" s="29"/>
      <x:c r="B2" s="29"/>
      <x:c r="C2" s="29"/>
    </x:row>
    <x:row r="3">
      <x:c r="A3" s="33" t="str">
        <x:v>Category</x:v>
      </x:c>
      <x:c r="B3" s="33" t="str">
        <x:v>Count</x:v>
      </x:c>
      <x:c r="C3" s="33" t="str">
        <x:v>Counting rule</x:v>
      </x:c>
    </x:row>
    <x:row r="4">
      <x:c r="A4" s="34" t="str">
        <x:v>Unique included studies</x:v>
      </x:c>
      <x:c r="B4" s="35" t="n">
        <x:f>COUNTA('ST01 Included Studies'!A:A)-1</x:f>
        <x:v>206</x:v>
      </x:c>
      <x:c r="C4" s="36" t="str">
        <x:v>Primary PRISMA Item 17 unit</x:v>
      </x:c>
    </x:row>
    <x:row r="5">
      <x:c r="A5" s="34" t="str">
        <x:v>Primary eligible reports</x:v>
      </x:c>
      <x:c r="B5" s="35" t="n">
        <x:f>COUNTIF('Eligible Report Lineage'!G:G,"primary_source")</x:f>
        <x:v>206</x:v>
      </x:c>
      <x:c r="C5" s="36" t="str">
        <x:v>Exactly one designated primary per study</x:v>
      </x:c>
    </x:row>
    <x:row r="6">
      <x:c r="A6" s="34" t="str">
        <x:v>Companion eligible reports</x:v>
      </x:c>
      <x:c r="B6" s="35" t="n">
        <x:f>COUNTIF('Eligible Report Lineage'!G:G,"supplementary_source")</x:f>
        <x:v>21</x:v>
      </x:c>
      <x:c r="C6" s="36" t="str">
        <x:v>Retained within report lineage</x:v>
      </x:c>
    </x:row>
    <x:row r="7">
      <x:c r="A7" s="34" t="str">
        <x:v>All eligible reports</x:v>
      </x:c>
      <x:c r="B7" s="35" t="n">
        <x:f>COUNTA('Eligible Report Lineage'!A:A)-1</x:f>
        <x:v>227</x:v>
      </x:c>
      <x:c r="C7" s="36" t="str">
        <x:v>206 + 21; not 227 studies</x:v>
      </x:c>
    </x:row>
    <x:row r="8">
      <x:c r="A8" s="34" t="str">
        <x:v>Report-specific companion guardrails</x:v>
      </x:c>
      <x:c r="B8" s="35" t="n">
        <x:f>COUNTA('Guardrail Metrics'!A:A)-1</x:f>
        <x:v>14</x:v>
      </x:c>
      <x:c r="C8" s="36" t="str">
        <x:v>Metrics retained at source-report level</x:v>
      </x:c>
    </x:row>
    <x:row r="9">
      <x:c r="A9" s="37" t="str">
        <x:v>Unresolved pending rows</x:v>
      </x:c>
      <x:c r="B9" s="38" t="n">
        <x:f>SUM('Companion Provenance'!W:W)</x:f>
        <x:v>0</x:v>
      </x:c>
      <x:c r="C9" s="39" t="str">
        <x:v>Pending token AND no resolved or approved adjudication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22" hidden="0" customWidth="1"/>
    <x:col min="5" max="5" width="24" hidden="0" customWidth="1"/>
    <x:col min="6" max="6" width="24" hidden="0" customWidth="1"/>
    <x:col min="7" max="7" width="24" hidden="0" customWidth="1"/>
    <x:col min="8" max="8" width="22" hidden="0" customWidth="1"/>
    <x:col min="9" max="9" width="24" hidden="0" customWidth="1"/>
    <x:col min="10" max="10" width="48" hidden="0" customWidth="1"/>
    <x:col min="11" max="11" width="38" hidden="0" customWidth="1"/>
    <x:col min="12" max="12" width="13" hidden="0" customWidth="1"/>
    <x:col min="13" max="13" width="34" hidden="0" customWidth="1"/>
    <x:col min="14" max="14" width="30" hidden="0" customWidth="1"/>
    <x:col min="15" max="15" width="30" hidden="0" customWidth="1"/>
    <x:col min="16" max="16" width="22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24" hidden="0" customWidth="1"/>
    <x:col min="26" max="26" width="24" hidden="0" customWidth="1"/>
    <x:col min="27" max="27" width="48" hidden="0" customWidth="1"/>
  </x:cols>
  <x:sheetData>
    <x:row r="1" ht="38" customHeight="1">
      <x:c r="A1" s="20" t="str">
        <x:v>study_id</x:v>
      </x:c>
      <x:c r="B1" s="20" t="str">
        <x:v>study_citation_key</x:v>
      </x:c>
      <x:c r="C1" s="20" t="str">
        <x:v>report_id</x:v>
      </x:c>
      <x:c r="D1" s="20" t="str">
        <x:v>screening_record_id</x:v>
      </x:c>
      <x:c r="E1" s="20" t="str">
        <x:v>report_citation_key</x:v>
      </x:c>
      <x:c r="F1" s="20" t="str">
        <x:v>report_citation_command</x:v>
      </x:c>
      <x:c r="G1" s="20" t="str">
        <x:v>report_evidence_role</x:v>
      </x:c>
      <x:c r="H1" s="20" t="str">
        <x:v>report_relation_code</x:v>
      </x:c>
      <x:c r="I1" s="20" t="str">
        <x:v>report_role</x:v>
      </x:c>
      <x:c r="J1" s="20" t="str">
        <x:v>title</x:v>
      </x:c>
      <x:c r="K1" s="20" t="str">
        <x:v>authors</x:v>
      </x:c>
      <x:c r="L1" s="20" t="str">
        <x:v>year</x:v>
      </x:c>
      <x:c r="M1" s="20" t="str">
        <x:v>venue</x:v>
      </x:c>
      <x:c r="N1" s="20" t="str">
        <x:v>doi</x:v>
      </x:c>
      <x:c r="O1" s="20" t="str">
        <x:v>source_url</x:v>
      </x:c>
      <x:c r="P1" s="20" t="str">
        <x:v>document_type</x:v>
      </x:c>
      <x:c r="Q1" s="20" t="str">
        <x:v>extracted_evidence_row_count</x:v>
      </x:c>
      <x:c r="R1" s="20" t="str">
        <x:v>extracted_metric_row_count</x:v>
      </x:c>
      <x:c r="S1" s="20" t="str">
        <x:v>governed_tradeoff_row_count</x:v>
      </x:c>
      <x:c r="T1" s="20" t="str">
        <x:v>report_specific_guardrail_metric_count</x:v>
      </x:c>
      <x:c r="U1" s="20" t="str">
        <x:v>pending_human_token_count_all_statuses</x:v>
      </x:c>
      <x:c r="V1" s="20" t="str">
        <x:v>pending_human_token_resolved_or_approved_count</x:v>
      </x:c>
      <x:c r="W1" s="20" t="str">
        <x:v>unresolved_pending_human_row_count</x:v>
      </x:c>
      <x:c r="X1" s="20" t="str">
        <x:v>unresolved_pending_human_row_count_companion_lineage_gate</x:v>
      </x:c>
      <x:c r="Y1" s="20" t="str">
        <x:v>synthesis_use_gate</x:v>
      </x:c>
      <x:c r="Z1" s="20" t="str">
        <x:v>provenance_status</x:v>
      </x:c>
      <x:c r="AA1" s="20" t="str">
        <x:v>provenance_note</x:v>
      </x:c>
    </x:row>
    <x:row r="2" ht="42" customHeight="1">
      <x:c r="A2" s="21" t="str">
        <x:v>STC-ACO-OFDM-LFM-LIDAR-2025</x:v>
      </x:c>
      <x:c r="B2" s="21" t="str">
        <x:v>OISAC_SCR01115</x:v>
      </x:c>
      <x:c r="C2" s="21" t="str">
        <x:v>RPT-SCR-01115-01</x:v>
      </x:c>
      <x:c r="D2" s="21" t="str">
        <x:v>SCR-01115</x:v>
      </x:c>
      <x:c r="E2" s="21" t="str">
        <x:v>OISAC_SCR01115</x:v>
      </x:c>
      <x:c r="F2" s="21" t="str">
        <x:v>\cite{OISAC_SCR01115}</x:v>
      </x:c>
      <x:c r="G2" s="21" t="str">
        <x:v>primary_source</x:v>
      </x:c>
      <x:c r="H2" s="21" t="str">
        <x:v>RPT02</x:v>
      </x:c>
      <x:c r="I2" s="21" t="str">
        <x:v>primary_report</x:v>
      </x:c>
      <x:c r="J2" s="21" t="str">
        <x:v>Integrated Design of OFDM-LFM Lidar Communication in IoV Environment</x:v>
      </x:c>
      <x:c r="K2" s="21" t="str">
        <x:v>G. Zhou; M. Cao; Q. Yang; Y. Zhang; S. Han; H. Wang</x:v>
      </x:c>
      <x:c r="L2" s="23" t="str">
        <x:v>2024</x:v>
      </x:c>
      <x:c r="M2" s="21" t="str">
        <x:v>2024 IEEE 12th International Conference on Information, Communication and Networks (ICICN)</x:v>
      </x:c>
      <x:c r="N2" s="21" t="str">
        <x:v>10.1109/icicn62625.2024.10761294</x:v>
      </x:c>
      <x:c r="O2" s="21" t="str">
        <x:v>https://doi.org/10.1109/icicn62625.2024.10761294</x:v>
      </x:c>
      <x:c r="P2" s="21" t="str">
        <x:v>IEEE Conferences</x:v>
      </x:c>
      <x:c r="Q2" s="23" t="str">
        <x:v>12</x:v>
      </x:c>
      <x:c r="R2" s="23" t="str">
        <x:v>27</x:v>
      </x:c>
      <x:c r="S2" s="23" t="str">
        <x:v>2</x:v>
      </x:c>
      <x:c r="T2" s="23" t="str">
        <x:v>0</x:v>
      </x:c>
      <x:c r="U2" s="23" t="str">
        <x:v>0</x:v>
      </x:c>
      <x:c r="V2" s="23" t="str">
        <x:v>0</x:v>
      </x:c>
      <x:c r="W2" s="23" t="str">
        <x:v>0</x:v>
      </x:c>
      <x:c r="X2" s="23" t="str">
        <x:v>0</x:v>
      </x:c>
      <x:c r="Y2" s="21" t="str">
        <x:v>eligible_with_study_context</x:v>
      </x:c>
      <x:c r="Z2" s="21" t="str">
        <x:v>complete</x:v>
      </x:c>
      <x:c r="AA2" s="21" t="str">
        <x:v>Source SCR-01115 supplies 12 evidence, 27 metric, and 2 governed tradeoff rows; use gate: eligible_with_study_context.</x:v>
      </x:c>
    </x:row>
    <x:row r="3" ht="42" customHeight="1">
      <x:c r="A3" s="21" t="str">
        <x:v>STC-DP-IMDD-THZ-RANGING-2025-2026</x:v>
      </x:c>
      <x:c r="B3" s="21" t="str">
        <x:v>OISAC_SCR00989</x:v>
      </x:c>
      <x:c r="C3" s="21" t="str">
        <x:v>RPT-SCR-00989-01</x:v>
      </x:c>
      <x:c r="D3" s="21" t="str">
        <x:v>SCR-00989</x:v>
      </x:c>
      <x:c r="E3" s="21" t="str">
        <x:v>OISAC_SCR00989</x:v>
      </x:c>
      <x:c r="F3" s="21" t="str">
        <x:v>\cite{OISAC_SCR00989}</x:v>
      </x:c>
      <x:c r="G3" s="21" t="str">
        <x:v>primary_source</x:v>
      </x:c>
      <x:c r="H3" s="21" t="str">
        <x:v>RPT02</x:v>
      </x:c>
      <x:c r="I3" s="21" t="str">
        <x:v>journal_version</x:v>
      </x:c>
      <x:c r="J3" s="21" t="str">
        <x:v>310Gbps Transmission and Centimeter-Level Ranging Photonic THz ISAC System</x:v>
      </x:c>
      <x:c r="K3" s="21" t="str">
        <x:v>D. Shi; W. Lu; Y. Fang; P. Yuan; H. Zhu; L. Pang; W. Shieh</x:v>
      </x:c>
      <x:c r="L3" s="23" t="str">
        <x:v>2026</x:v>
      </x:c>
      <x:c r="M3" s="21" t="str">
        <x:v>Journal of Lightwave Technology</x:v>
      </x:c>
      <x:c r="N3" s="21" t="str">
        <x:v>10.1109/jlt.2026.3694092</x:v>
      </x:c>
      <x:c r="O3" s="21" t="str">
        <x:v>https://doi.org/10.1109/jlt.2026.3694092</x:v>
      </x:c>
      <x:c r="P3" s="21" t="str">
        <x:v>IEEE Early Access Articles</x:v>
      </x:c>
      <x:c r="Q3" s="23" t="str">
        <x:v>13</x:v>
      </x:c>
      <x:c r="R3" s="23" t="str">
        <x:v>19</x:v>
      </x:c>
      <x:c r="S3" s="23" t="str">
        <x:v>0</x:v>
      </x:c>
      <x:c r="T3" s="23" t="str">
        <x:v>0</x:v>
      </x:c>
      <x:c r="U3" s="23" t="str">
        <x:v>0</x:v>
      </x:c>
      <x:c r="V3" s="23" t="str">
        <x:v>0</x:v>
      </x:c>
      <x:c r="W3" s="23" t="str">
        <x:v>0</x:v>
      </x:c>
      <x:c r="X3" s="23" t="str">
        <x:v>0</x:v>
      </x:c>
      <x:c r="Y3" s="21" t="str">
        <x:v>eligible_with_study_context</x:v>
      </x:c>
      <x:c r="Z3" s="21" t="str">
        <x:v>complete</x:v>
      </x:c>
      <x:c r="AA3" s="21" t="str">
        <x:v>Source SCR-00989 supplies 13 evidence, 19 metric, and 0 governed tradeoff rows; use gate: eligible_with_study_context.</x:v>
      </x:c>
    </x:row>
    <x:row r="4" ht="42" customHeight="1">
      <x:c r="A4" s="21" t="str">
        <x:v>STC-DP-IMDD-THZ-RANGING-2025-2026</x:v>
      </x:c>
      <x:c r="B4" s="21" t="str">
        <x:v>OISAC_SCR00989</x:v>
      </x:c>
      <x:c r="C4" s="21" t="str">
        <x:v>RPT-SCR-00933-01</x:v>
      </x:c>
      <x:c r="D4" s="21" t="str">
        <x:v>SCR-00933</x:v>
      </x:c>
      <x:c r="E4" s="21" t="str">
        <x:v>OISAC_SCR00933</x:v>
      </x:c>
      <x:c r="F4" s="21" t="str">
        <x:v>\cite{OISAC_SCR00933}</x:v>
      </x:c>
      <x:c r="G4" s="21" t="str">
        <x:v>supplementary_source</x:v>
      </x:c>
      <x:c r="H4" s="21" t="str">
        <x:v>RPT02</x:v>
      </x:c>
      <x:c r="I4" s="21" t="str">
        <x:v>conference_version</x:v>
      </x:c>
      <x:c r="J4" s="21" t="str">
        <x:v>310Gbps Integrated Sensing and Communication Dual-Polarization IM/DD Photonic THz System</x:v>
      </x:c>
      <x:c r="K4" s="21" t="str">
        <x:v>D. Shi; W. Lu; Y. Fang; P. Yuan; H. Zhu; W. Shieh</x:v>
      </x:c>
      <x:c r="L4" s="23" t="str">
        <x:v>2026</x:v>
      </x:c>
      <x:c r="M4" s="21" t="str">
        <x:v>2026 Optical Fiber Communications Conference and Exhibition (OFC)</x:v>
      </x:c>
      <x:c r="N4" s="21" t="str"/>
      <x:c r="O4" s="21" t="str">
        <x:v>https://ieeexplore.ieee.org/document/11525332</x:v>
      </x:c>
      <x:c r="P4" s="21" t="str">
        <x:v>IEEE Conferences</x:v>
      </x:c>
      <x:c r="Q4" s="23" t="str">
        <x:v>3</x:v>
      </x:c>
      <x:c r="R4" s="23" t="str">
        <x:v>1</x:v>
      </x:c>
      <x:c r="S4" s="23" t="str">
        <x:v>0</x:v>
      </x:c>
      <x:c r="T4" s="23" t="str">
        <x:v>0</x:v>
      </x:c>
      <x:c r="U4" s="23" t="str">
        <x:v>0</x:v>
      </x:c>
      <x:c r="V4" s="23" t="str">
        <x:v>0</x:v>
      </x:c>
      <x:c r="W4" s="23" t="str">
        <x:v>0</x:v>
      </x:c>
      <x:c r="X4" s="23" t="str">
        <x:v>0</x:v>
      </x:c>
      <x:c r="Y4" s="21" t="str">
        <x:v>eligible_with_study_context</x:v>
      </x:c>
      <x:c r="Z4" s="21" t="str">
        <x:v>complete</x:v>
      </x:c>
      <x:c r="AA4" s="21" t="str">
        <x:v>Source SCR-00933 supplies 3 evidence, 1 metric, and 0 governed tradeoff rows; use gate: eligible_with_study_context.</x:v>
      </x:c>
    </x:row>
    <x:row r="5" ht="42" customHeight="1">
      <x:c r="A5" s="21" t="str">
        <x:v>STC-DSCM-ANN-DT-ECL-2025-2026</x:v>
      </x:c>
      <x:c r="B5" s="21" t="str">
        <x:v>OISAC_SCR01185</x:v>
      </x:c>
      <x:c r="C5" s="21" t="str">
        <x:v>RPT-SCR-01185-01</x:v>
      </x:c>
      <x:c r="D5" s="21" t="str">
        <x:v>SCR-01185</x:v>
      </x:c>
      <x:c r="E5" s="21" t="str">
        <x:v>OISAC_SCR01185</x:v>
      </x:c>
      <x:c r="F5" s="21" t="str">
        <x:v>\cite{OISAC_SCR01185}</x:v>
      </x:c>
      <x:c r="G5" s="21" t="str">
        <x:v>primary_source</x:v>
      </x:c>
      <x:c r="H5" s="21" t="str">
        <x:v>RPT02</x:v>
      </x:c>
      <x:c r="I5" s="21" t="str">
        <x:v>journal_version</x:v>
      </x:c>
      <x:c r="J5" s="21" t="str">
        <x:v>Machine-learning-enhanced phase-based vibration sensing in coherent DSCM systems under commercial ECLs</x:v>
      </x:c>
      <x:c r="K5" s="21" t="str">
        <x:v>Bang YangJianwei TangLinsheng FanJinlong WeiYanfu Yang</x:v>
      </x:c>
      <x:c r="L5" s="23" t="str">
        <x:v>2026</x:v>
      </x:c>
      <x:c r="M5" s="21" t="str">
        <x:v>Science China Information Sciences</x:v>
      </x:c>
      <x:c r="N5" s="21" t="str">
        <x:v>10.1007/s11432-025-4902-8</x:v>
      </x:c>
      <x:c r="O5" s="21" t="str">
        <x:v>https://doi.org/10.1007/s11432-025-4902-8</x:v>
      </x:c>
      <x:c r="P5" s="21" t="str">
        <x:v>Article</x:v>
      </x:c>
      <x:c r="Q5" s="23" t="str">
        <x:v>12</x:v>
      </x:c>
      <x:c r="R5" s="23" t="str">
        <x:v>43</x:v>
      </x:c>
      <x:c r="S5" s="23" t="str">
        <x:v>3</x:v>
      </x:c>
      <x:c r="T5" s="23" t="str">
        <x:v>0</x:v>
      </x:c>
      <x:c r="U5" s="23" t="str">
        <x:v>0</x:v>
      </x:c>
      <x:c r="V5" s="23" t="str">
        <x:v>0</x:v>
      </x:c>
      <x:c r="W5" s="23" t="str">
        <x:v>0</x:v>
      </x:c>
      <x:c r="X5" s="23" t="str">
        <x:v>0</x:v>
      </x:c>
      <x:c r="Y5" s="21" t="str">
        <x:v>eligible_with_study_context</x:v>
      </x:c>
      <x:c r="Z5" s="21" t="str">
        <x:v>complete</x:v>
      </x:c>
      <x:c r="AA5" s="21" t="str">
        <x:v>Source SCR-01185 supplies 12 evidence, 43 metric, and 3 governed tradeoff rows; use gate: eligible_with_study_context.</x:v>
      </x:c>
    </x:row>
    <x:row r="6" ht="42" customHeight="1">
      <x:c r="A6" s="21" t="str">
        <x:v>STC-DSCM-ANN-DT-ECL-2025-2026</x:v>
      </x:c>
      <x:c r="B6" s="21" t="str">
        <x:v>OISAC_SCR01185</x:v>
      </x:c>
      <x:c r="C6" s="21" t="str">
        <x:v>RPT-SCR-00722-01</x:v>
      </x:c>
      <x:c r="D6" s="21" t="str">
        <x:v>SCR-00722</x:v>
      </x:c>
      <x:c r="E6" s="21" t="str">
        <x:v>OISAC_SCR00722</x:v>
      </x:c>
      <x:c r="F6" s="21" t="str">
        <x:v>\cite{OISAC_SCR00722}</x:v>
      </x:c>
      <x:c r="G6" s="21" t="str">
        <x:v>supplementary_source</x:v>
      </x:c>
      <x:c r="H6" s="21" t="str">
        <x:v>RPT02</x:v>
      </x:c>
      <x:c r="I6" s="21" t="str">
        <x:v>conference_version</x:v>
      </x:c>
      <x:c r="J6" s="21" t="str">
        <x:v>Integrated Vibration Sensing in DSCM Systems Under ECLs Based on ANN and Digital Twin</x:v>
      </x:c>
      <x:c r="K6" s="21" t="str">
        <x:v>Yang B.; Wang S.; Tang J.; Yang Y.</x:v>
      </x:c>
      <x:c r="L6" s="23" t="str">
        <x:v>2025</x:v>
      </x:c>
      <x:c r="M6" s="21" t="str">
        <x:v>2025 23rd International Conference on Optical Communications and Networks, ICOCN 2025</x:v>
      </x:c>
      <x:c r="N6" s="21" t="str">
        <x:v>10.1109/icocn67308.2025.11145413</x:v>
      </x:c>
      <x:c r="O6" s="21" t="str">
        <x:v>https://doi.org/10.1109/icocn67308.2025.11145413</x:v>
      </x:c>
      <x:c r="P6" s="21" t="str">
        <x:v>Conference paper</x:v>
      </x:c>
      <x:c r="Q6" s="23" t="str">
        <x:v>2</x:v>
      </x:c>
      <x:c r="R6" s="23" t="str">
        <x:v>7</x:v>
      </x:c>
      <x:c r="S6" s="23" t="str">
        <x:v>0</x:v>
      </x:c>
      <x:c r="T6" s="23" t="str">
        <x:v>0</x:v>
      </x:c>
      <x:c r="U6" s="23" t="str">
        <x:v>0</x:v>
      </x:c>
      <x:c r="V6" s="23" t="str">
        <x:v>0</x:v>
      </x:c>
      <x:c r="W6" s="23" t="str">
        <x:v>0</x:v>
      </x:c>
      <x:c r="X6" s="23" t="str">
        <x:v>0</x:v>
      </x:c>
      <x:c r="Y6" s="21" t="str">
        <x:v>eligible_with_study_context</x:v>
      </x:c>
      <x:c r="Z6" s="21" t="str">
        <x:v>complete</x:v>
      </x:c>
      <x:c r="AA6" s="21" t="str">
        <x:v>Source SCR-00722 supplies 2 evidence, 7 metric, and 0 governed tradeoff rows; use gate: eligible_with_study_context.</x:v>
      </x:c>
    </x:row>
    <x:row r="7" ht="42" customHeight="1">
      <x:c r="A7" s="21" t="str">
        <x:v>STC-EADO-OFDM-RANGING-2024-2025</x:v>
      </x:c>
      <x:c r="B7" s="21" t="str">
        <x:v>OISAC_SCR00956</x:v>
      </x:c>
      <x:c r="C7" s="21" t="str">
        <x:v>RPT-SCR-00956-01</x:v>
      </x:c>
      <x:c r="D7" s="21" t="str">
        <x:v>SCR-00956</x:v>
      </x:c>
      <x:c r="E7" s="21" t="str">
        <x:v>OISAC_SCR00956</x:v>
      </x:c>
      <x:c r="F7" s="21" t="str">
        <x:v>\cite{OISAC_SCR00956}</x:v>
      </x:c>
      <x:c r="G7" s="21" t="str">
        <x:v>primary_source</x:v>
      </x:c>
      <x:c r="H7" s="21" t="str">
        <x:v>RPT02</x:v>
      </x:c>
      <x:c r="I7" s="21" t="str">
        <x:v>journal_version</x:v>
      </x:c>
      <x:c r="J7" s="21" t="str">
        <x:v>Optical Wireless Integrated Sensing and Communication Based on EADO-OFDM: A Flexible Resource Allocation Perspective</x:v>
      </x:c>
      <x:c r="K7" s="21" t="str">
        <x:v>Y. Wen; F. Yang; J. Song; Z. Han</x:v>
      </x:c>
      <x:c r="L7" s="23" t="str">
        <x:v>2025</x:v>
      </x:c>
      <x:c r="M7" s="21" t="str">
        <x:v>IEEE Transactions on Wireless Communications</x:v>
      </x:c>
      <x:c r="N7" s="21" t="str">
        <x:v>10.1109/twc.2025.3557061</x:v>
      </x:c>
      <x:c r="O7" s="21" t="str">
        <x:v>https://doi.org/10.1109/twc.2025.3557061</x:v>
      </x:c>
      <x:c r="P7" s="21" t="str">
        <x:v>IEEE Journals</x:v>
      </x:c>
      <x:c r="Q7" s="23" t="str">
        <x:v>12</x:v>
      </x:c>
      <x:c r="R7" s="23" t="str">
        <x:v>26</x:v>
      </x:c>
      <x:c r="S7" s="23" t="str">
        <x:v>2</x:v>
      </x:c>
      <x:c r="T7" s="23" t="str">
        <x:v>0</x:v>
      </x:c>
      <x:c r="U7" s="23" t="str">
        <x:v>0</x:v>
      </x:c>
      <x:c r="V7" s="23" t="str">
        <x:v>0</x:v>
      </x:c>
      <x:c r="W7" s="23" t="str">
        <x:v>0</x:v>
      </x:c>
      <x:c r="X7" s="23" t="str">
        <x:v>0</x:v>
      </x:c>
      <x:c r="Y7" s="21" t="str">
        <x:v>eligible_with_study_context</x:v>
      </x:c>
      <x:c r="Z7" s="21" t="str">
        <x:v>complete</x:v>
      </x:c>
      <x:c r="AA7" s="21" t="str">
        <x:v>Source SCR-00956 supplies 12 evidence, 26 metric, and 2 governed tradeoff rows; use gate: eligible_with_study_context.</x:v>
      </x:c>
    </x:row>
    <x:row r="8" ht="42" customHeight="1">
      <x:c r="A8" s="21" t="str">
        <x:v>STC-EADO-OFDM-RANGING-2024-2025</x:v>
      </x:c>
      <x:c r="B8" s="21" t="str">
        <x:v>OISAC_SCR00956</x:v>
      </x:c>
      <x:c r="C8" s="21" t="str">
        <x:v>RPT-SCR-00955-01</x:v>
      </x:c>
      <x:c r="D8" s="21" t="str">
        <x:v>SCR-00955</x:v>
      </x:c>
      <x:c r="E8" s="21" t="str">
        <x:v>OISAC_SCR00955</x:v>
      </x:c>
      <x:c r="F8" s="21" t="str">
        <x:v>\cite{OISAC_SCR00955}</x:v>
      </x:c>
      <x:c r="G8" s="21" t="str">
        <x:v>supplementary_source</x:v>
      </x:c>
      <x:c r="H8" s="21" t="str">
        <x:v>RPT02</x:v>
      </x:c>
      <x:c r="I8" s="21" t="str">
        <x:v>conference_version</x:v>
      </x:c>
      <x:c r="J8" s="21" t="str">
        <x:v>Adaptive Resource Allocation in ADO-OFDM for Optical Wireless Integrated Sensing and Communication</x:v>
      </x:c>
      <x:c r="K8" s="21" t="str">
        <x:v>Y. Wen; F. Yang; J. Song; Z. Han</x:v>
      </x:c>
      <x:c r="L8" s="23" t="str">
        <x:v>2024</x:v>
      </x:c>
      <x:c r="M8" s="21" t="str">
        <x:v>GLOBECOM 2024 - 2024 IEEE Global Communications Conference</x:v>
      </x:c>
      <x:c r="N8" s="21" t="str">
        <x:v>10.1109/globecom52923.2024.10901628</x:v>
      </x:c>
      <x:c r="O8" s="21" t="str">
        <x:v>https://doi.org/10.1109/globecom52923.2024.10901628</x:v>
      </x:c>
      <x:c r="P8" s="21" t="str">
        <x:v>IEEE Conferences</x:v>
      </x:c>
      <x:c r="Q8" s="23" t="str">
        <x:v>4</x:v>
      </x:c>
      <x:c r="R8" s="23" t="str">
        <x:v>7</x:v>
      </x:c>
      <x:c r="S8" s="23" t="str">
        <x:v>1</x:v>
      </x:c>
      <x:c r="T8" s="23" t="str">
        <x:v>0</x:v>
      </x:c>
      <x:c r="U8" s="23" t="str">
        <x:v>0</x:v>
      </x:c>
      <x:c r="V8" s="23" t="str">
        <x:v>0</x:v>
      </x:c>
      <x:c r="W8" s="23" t="str">
        <x:v>0</x:v>
      </x:c>
      <x:c r="X8" s="23" t="str">
        <x:v>0</x:v>
      </x:c>
      <x:c r="Y8" s="21" t="str">
        <x:v>eligible_with_study_context</x:v>
      </x:c>
      <x:c r="Z8" s="21" t="str">
        <x:v>complete</x:v>
      </x:c>
      <x:c r="AA8" s="21" t="str">
        <x:v>Source SCR-00955 supplies 4 evidence, 7 metric, and 1 governed tradeoff rows; use gate: eligible_with_study_context.</x:v>
      </x:c>
    </x:row>
    <x:row r="9" ht="42" customHeight="1">
      <x:c r="A9" s="21" t="str">
        <x:v>STC-ENDOGENOUS-TS-FRFT-DAS-2025</x:v>
      </x:c>
      <x:c r="B9" s="21" t="str">
        <x:v>OISAC_SCR00072</x:v>
      </x:c>
      <x:c r="C9" s="21" t="str">
        <x:v>RPT-SCR-00072-01</x:v>
      </x:c>
      <x:c r="D9" s="21" t="str">
        <x:v>SCR-00072</x:v>
      </x:c>
      <x:c r="E9" s="21" t="str">
        <x:v>OISAC_SCR00072</x:v>
      </x:c>
      <x:c r="F9" s="21" t="str">
        <x:v>\cite{OISAC_SCR00072}</x:v>
      </x:c>
      <x:c r="G9" s="21" t="str">
        <x:v>primary_source</x:v>
      </x:c>
      <x:c r="H9" s="21" t="str">
        <x:v>RPT02</x:v>
      </x:c>
      <x:c r="I9" s="21" t="str">
        <x:v>canonical_journal_report</x:v>
      </x:c>
      <x:c r="J9" s="21" t="str">
        <x:v>Endogenous integration of communication and interference fading free sensing using telecom pilots via joint polarization-fraction domain multiplexing</x:v>
      </x:c>
      <x:c r="K9" s="21" t="str">
        <x:v>Wang L.; Wang Y.; Lin Z.; Yu H.; Li Y.; Lu C.; Yu C.; Tang M.</x:v>
      </x:c>
      <x:c r="L9" s="23" t="str">
        <x:v>2025</x:v>
      </x:c>
      <x:c r="M9" s="21" t="str">
        <x:v>Optics Express</x:v>
      </x:c>
      <x:c r="N9" s="21" t="str">
        <x:v>10.1364/oe.563557</x:v>
      </x:c>
      <x:c r="O9" s="21" t="str">
        <x:v>https://doi.org/10.1364/oe.563557</x:v>
      </x:c>
      <x:c r="P9" s="21" t="str">
        <x:v>Article</x:v>
      </x:c>
      <x:c r="Q9" s="23" t="str">
        <x:v>8</x:v>
      </x:c>
      <x:c r="R9" s="23" t="str">
        <x:v>17</x:v>
      </x:c>
      <x:c r="S9" s="23" t="str">
        <x:v>2</x:v>
      </x:c>
      <x:c r="T9" s="23" t="str">
        <x:v>7</x:v>
      </x:c>
      <x:c r="U9" s="23" t="str">
        <x:v>0</x:v>
      </x:c>
      <x:c r="V9" s="23" t="str">
        <x:v>0</x:v>
      </x:c>
      <x:c r="W9" s="23" t="str">
        <x:v>0</x:v>
      </x:c>
      <x:c r="X9" s="23" t="str">
        <x:v>0</x:v>
      </x:c>
      <x:c r="Y9" s="21" t="str">
        <x:v>report_specific_guardrail</x:v>
      </x:c>
      <x:c r="Z9" s="21" t="str">
        <x:v>complete</x:v>
      </x:c>
      <x:c r="AA9" s="21" t="str">
        <x:v>Source SCR-00072 supplies 8 evidence, 17 metric, and 2 governed tradeoff rows; use gate: report_specific_guardrail.</x:v>
      </x:c>
    </x:row>
    <x:row r="10" ht="42" customHeight="1">
      <x:c r="A10" s="21" t="str">
        <x:v>STC-ENDOGENOUS-TS-FRFT-DAS-2025</x:v>
      </x:c>
      <x:c r="B10" s="21" t="str">
        <x:v>OISAC_SCR00072</x:v>
      </x:c>
      <x:c r="C10" s="21" t="str">
        <x:v>RPT-SCR-00099-01</x:v>
      </x:c>
      <x:c r="D10" s="21" t="str">
        <x:v>SCR-00099</x:v>
      </x:c>
      <x:c r="E10" s="21" t="str">
        <x:v>OISAC_SCR00099</x:v>
      </x:c>
      <x:c r="F10" s="21" t="str">
        <x:v>\cite{OISAC_SCR00099}</x:v>
      </x:c>
      <x:c r="G10" s="21" t="str">
        <x:v>supplementary_source</x:v>
      </x:c>
      <x:c r="H10" s="21" t="str">
        <x:v>RPT02</x:v>
      </x:c>
      <x:c r="I10" s="21" t="str">
        <x:v>conference_companion_report</x:v>
      </x:c>
      <x:c r="J10" s="21" t="str">
        <x:v>Endogenous ISAC Enabled Interference Fading Free Sensing via Telecom Training Sequence</x:v>
      </x:c>
      <x:c r="K10" s="21" t="str">
        <x:v>Wang Y.; Wang L.; Lin Z.; Lu C.; Tang M.; Yu C.</x:v>
      </x:c>
      <x:c r="L10" s="23" t="str">
        <x:v>2025</x:v>
      </x:c>
      <x:c r="M10" s="21" t="str">
        <x:v>Opto-Electronics and Communications Conference, OECC</x:v>
      </x:c>
      <x:c r="N10" s="21" t="str">
        <x:v>10.23919/oecc/psc62146.2025.11110297</x:v>
      </x:c>
      <x:c r="O10" s="21" t="str">
        <x:v>https://doi.org/10.23919/oecc/psc62146.2025.11110297</x:v>
      </x:c>
      <x:c r="P10" s="21" t="str">
        <x:v>Conference paper</x:v>
      </x:c>
      <x:c r="Q10" s="23" t="str">
        <x:v>2</x:v>
      </x:c>
      <x:c r="R10" s="23" t="str">
        <x:v>5</x:v>
      </x:c>
      <x:c r="S10" s="23" t="str">
        <x:v>1</x:v>
      </x:c>
      <x:c r="T10" s="23" t="str">
        <x:v>5</x:v>
      </x:c>
      <x:c r="U10" s="23" t="str">
        <x:v>0</x:v>
      </x:c>
      <x:c r="V10" s="23" t="str">
        <x:v>0</x:v>
      </x:c>
      <x:c r="W10" s="23" t="str">
        <x:v>0</x:v>
      </x:c>
      <x:c r="X10" s="23" t="str">
        <x:v>0</x:v>
      </x:c>
      <x:c r="Y10" s="21" t="str">
        <x:v>report_specific_guardrail</x:v>
      </x:c>
      <x:c r="Z10" s="21" t="str">
        <x:v>complete</x:v>
      </x:c>
      <x:c r="AA10" s="21" t="str">
        <x:v>Source SCR-00099 supplies 2 evidence, 5 metric, and 1 governed tradeoff rows; use gate: report_specific_guardrail.</x:v>
      </x:c>
    </x:row>
    <x:row r="11" ht="42" customHeight="1">
      <x:c r="A11" s="21" t="str">
        <x:v>STC-FRDM-POLARIZATION-SENSING-2025-2026</x:v>
      </x:c>
      <x:c r="B11" s="21" t="str">
        <x:v>OISAC_SCR00220</x:v>
      </x:c>
      <x:c r="C11" s="21" t="str">
        <x:v>RPT-SCR-00220-01</x:v>
      </x:c>
      <x:c r="D11" s="21" t="str">
        <x:v>SCR-00220</x:v>
      </x:c>
      <x:c r="E11" s="21" t="str">
        <x:v>OISAC_SCR00220</x:v>
      </x:c>
      <x:c r="F11" s="21" t="str">
        <x:v>\cite{OISAC_SCR00220}</x:v>
      </x:c>
      <x:c r="G11" s="21" t="str">
        <x:v>primary_source</x:v>
      </x:c>
      <x:c r="H11" s="21" t="str">
        <x:v>RPT02</x:v>
      </x:c>
      <x:c r="I11" s="21" t="str">
        <x:v>canonical_journal_report</x:v>
      </x:c>
      <x:c r="J11" s="21" t="str">
        <x:v>Integrated Communication and In-Band Spectrum Polarization-Based Sensing via Fraction-Division Non-Orthogonal Multiple Access</x:v>
      </x:c>
      <x:c r="K11" s="21" t="str">
        <x:v>Wang L.; Wang Y.; Li Y.; Lin Z.; Wei Z.; Lu C.; Yu C.; Tang M.</x:v>
      </x:c>
      <x:c r="L11" s="23" t="str">
        <x:v>2026</x:v>
      </x:c>
      <x:c r="M11" s="21" t="str">
        <x:v>Journal of Lightwave Technology</x:v>
      </x:c>
      <x:c r="N11" s="21" t="str">
        <x:v>10.1109/jlt.2025.3625373</x:v>
      </x:c>
      <x:c r="O11" s="21" t="str">
        <x:v>https://doi.org/10.1109/jlt.2025.3625373</x:v>
      </x:c>
      <x:c r="P11" s="21" t="str">
        <x:v>Article</x:v>
      </x:c>
      <x:c r="Q11" s="23" t="str">
        <x:v>9</x:v>
      </x:c>
      <x:c r="R11" s="23" t="str">
        <x:v>17</x:v>
      </x:c>
      <x:c r="S11" s="23" t="str">
        <x:v>1</x:v>
      </x:c>
      <x:c r="T11" s="23" t="str">
        <x:v>1</x:v>
      </x:c>
      <x:c r="U11" s="23" t="str">
        <x:v>10</x:v>
      </x:c>
      <x:c r="V11" s="23" t="str">
        <x:v>0</x:v>
      </x:c>
      <x:c r="W11" s="23" t="str">
        <x:v>9</x:v>
      </x:c>
      <x:c r="X11" s="23" t="str">
        <x:v>0</x:v>
      </x:c>
      <x:c r="Y11" s="21" t="str">
        <x:v>report_specific_guardrail</x:v>
      </x:c>
      <x:c r="Z11" s="21" t="str">
        <x:v>complete</x:v>
      </x:c>
      <x:c r="AA11" s="21" t="str">
        <x:v>Source SCR-00220 supplies 9 evidence, 17 metric, and 1 governed tradeoff rows; use gate: report_specific_guardrail.</x:v>
      </x:c>
    </x:row>
    <x:row r="12" ht="42" customHeight="1">
      <x:c r="A12" s="21" t="str">
        <x:v>STC-FRDM-POLARIZATION-SENSING-2025-2026</x:v>
      </x:c>
      <x:c r="B12" s="21" t="str">
        <x:v>OISAC_SCR00220</x:v>
      </x:c>
      <x:c r="C12" s="21" t="str">
        <x:v>RPT-SCR-00592-01</x:v>
      </x:c>
      <x:c r="D12" s="21" t="str">
        <x:v>SCR-00592</x:v>
      </x:c>
      <x:c r="E12" s="21" t="str">
        <x:v>OISAC_SCR00592</x:v>
      </x:c>
      <x:c r="F12" s="21" t="str">
        <x:v>\cite{OISAC_SCR00592}</x:v>
      </x:c>
      <x:c r="G12" s="21" t="str">
        <x:v>supplementary_source</x:v>
      </x:c>
      <x:c r="H12" s="21" t="str">
        <x:v>RPT02</x:v>
      </x:c>
      <x:c r="I12" s="21" t="str">
        <x:v>conference_companion_report</x:v>
      </x:c>
      <x:c r="J12" s="21" t="str">
        <x:v>Integration of In-band Polarization-Based Sensing and Communication via Fraction Domain Multiplexing</x:v>
      </x:c>
      <x:c r="K12" s="21" t="str">
        <x:v>Wang Y.; Wang L.; Li Y.; Yu C.; Tang M.; Wei Z.</x:v>
      </x:c>
      <x:c r="L12" s="23" t="str">
        <x:v>2025</x:v>
      </x:c>
      <x:c r="M12" s="21" t="str">
        <x:v>Asia Communications and Photonics Conference, ACP</x:v>
      </x:c>
      <x:c r="N12" s="21" t="str">
        <x:v>10.1109/acp66871.2025.11350917</x:v>
      </x:c>
      <x:c r="O12" s="21" t="str">
        <x:v>https://doi.org/10.1109/acp66871.2025.11350917</x:v>
      </x:c>
      <x:c r="P12" s="21" t="str">
        <x:v>Conference paper</x:v>
      </x:c>
      <x:c r="Q12" s="23" t="str">
        <x:v>2</x:v>
      </x:c>
      <x:c r="R12" s="23" t="str">
        <x:v>4</x:v>
      </x:c>
      <x:c r="S12" s="23" t="str">
        <x:v>1</x:v>
      </x:c>
      <x:c r="T12" s="23" t="str">
        <x:v>2</x:v>
      </x:c>
      <x:c r="U12" s="23" t="str">
        <x:v>3</x:v>
      </x:c>
      <x:c r="V12" s="23" t="str">
        <x:v>0</x:v>
      </x:c>
      <x:c r="W12" s="23" t="str">
        <x:v>2</x:v>
      </x:c>
      <x:c r="X12" s="23" t="str">
        <x:v>0</x:v>
      </x:c>
      <x:c r="Y12" s="21" t="str">
        <x:v>report_specific_guardrail</x:v>
      </x:c>
      <x:c r="Z12" s="21" t="str">
        <x:v>complete</x:v>
      </x:c>
      <x:c r="AA12" s="21" t="str">
        <x:v>Source SCR-00592 supplies 2 evidence, 4 metric, and 1 governed tradeoff rows; use gate: report_specific_guardrail.</x:v>
      </x:c>
    </x:row>
    <x:row r="13" ht="42" customHeight="1">
      <x:c r="A13" s="21" t="str">
        <x:v>STC-ICP-RL-HLLB-3650KM-2024-2025</x:v>
      </x:c>
      <x:c r="B13" s="21" t="str">
        <x:v>OISAC_SCR01100</x:v>
      </x:c>
      <x:c r="C13" s="21" t="str">
        <x:v>RPT-SCR-01100-01</x:v>
      </x:c>
      <x:c r="D13" s="21" t="str">
        <x:v>SCR-01100</x:v>
      </x:c>
      <x:c r="E13" s="21" t="str">
        <x:v>OISAC_SCR01100</x:v>
      </x:c>
      <x:c r="F13" s="21" t="str">
        <x:v>\cite{OISAC_SCR01100}</x:v>
      </x:c>
      <x:c r="G13" s="21" t="str">
        <x:v>primary_source</x:v>
      </x:c>
      <x:c r="H13" s="21" t="str">
        <x:v>RPT02</x:v>
      </x:c>
      <x:c r="I13" s="21" t="str">
        <x:v>companion_report</x:v>
      </x:c>
      <x:c r="J13" s="21" t="str">
        <x:v>Simultaneous Transmission and Sensing Emulation Using Interconnected Counter-Propagating Recirculating Loops</x:v>
      </x:c>
      <x:c r="K13" s="21" t="str">
        <x:v>J. Wu; Z. Liu; L. Liu; H. Ji; W. Shieh</x:v>
      </x:c>
      <x:c r="L13" s="23" t="str">
        <x:v>2025</x:v>
      </x:c>
      <x:c r="M13" s="21" t="str">
        <x:v>2025 European Conference on Optical Communications (ECOC)</x:v>
      </x:c>
      <x:c r="N13" s="21" t="str">
        <x:v>10.1109/ecoc66593.2025.11262977</x:v>
      </x:c>
      <x:c r="O13" s="21" t="str">
        <x:v>https://doi.org/10.1109/ecoc66593.2025.11262977</x:v>
      </x:c>
      <x:c r="P13" s="21" t="str">
        <x:v>IEEE Conferences</x:v>
      </x:c>
      <x:c r="Q13" s="23" t="str">
        <x:v>12</x:v>
      </x:c>
      <x:c r="R13" s="23" t="str">
        <x:v>24</x:v>
      </x:c>
      <x:c r="S13" s="23" t="str">
        <x:v>3</x:v>
      </x:c>
      <x:c r="T13" s="23" t="str">
        <x:v>0</x:v>
      </x:c>
      <x:c r="U13" s="23" t="str">
        <x:v>0</x:v>
      </x:c>
      <x:c r="V13" s="23" t="str">
        <x:v>0</x:v>
      </x:c>
      <x:c r="W13" s="23" t="str">
        <x:v>0</x:v>
      </x:c>
      <x:c r="X13" s="23" t="str">
        <x:v>0</x:v>
      </x:c>
      <x:c r="Y13" s="21" t="str">
        <x:v>eligible_with_study_context</x:v>
      </x:c>
      <x:c r="Z13" s="21" t="str">
        <x:v>complete</x:v>
      </x:c>
      <x:c r="AA13" s="21" t="str">
        <x:v>Source SCR-01100 supplies 12 evidence, 24 metric, and 3 governed tradeoff rows; use gate: eligible_with_study_context.</x:v>
      </x:c>
    </x:row>
    <x:row r="14" ht="42" customHeight="1">
      <x:c r="A14" s="21" t="str">
        <x:v>STC-III-NITRIDE-MOTION-VLC-2023</x:v>
      </x:c>
      <x:c r="B14" s="21" t="str">
        <x:v>OISAC_SCR00763</x:v>
      </x:c>
      <x:c r="C14" s="21" t="str">
        <x:v>RPT-SCR-00763-01</x:v>
      </x:c>
      <x:c r="D14" s="21" t="str">
        <x:v>SCR-00763</x:v>
      </x:c>
      <x:c r="E14" s="21" t="str">
        <x:v>OISAC_SCR00763</x:v>
      </x:c>
      <x:c r="F14" s="21" t="str">
        <x:v>\cite{OISAC_SCR00763}</x:v>
      </x:c>
      <x:c r="G14" s="21" t="str">
        <x:v>primary_source</x:v>
      </x:c>
      <x:c r="H14" s="21" t="str">
        <x:v>RPT02</x:v>
      </x:c>
      <x:c r="I14" s="21" t="str">
        <x:v>primary_report</x:v>
      </x:c>
      <x:c r="J14" s="21" t="str">
        <x:v>Integrated Sensing and Communication Chip Based on III-Nitride for Motion Detection</x:v>
      </x:c>
      <x:c r="K14" s="21" t="str">
        <x:v>Li X.; Han M.; Chen M.; Li Y.; Qin F.; Zhu G.; Wang L.; Wang Y.</x:v>
      </x:c>
      <x:c r="L14" s="23" t="str">
        <x:v>2023</x:v>
      </x:c>
      <x:c r="M14" s="21" t="str">
        <x:v>ACS Omega</x:v>
      </x:c>
      <x:c r="N14" s="21" t="str">
        <x:v>10.1021/acsomega.3c00521</x:v>
      </x:c>
      <x:c r="O14" s="21" t="str">
        <x:v>https://doi.org/10.1021/acsomega.3c00521</x:v>
      </x:c>
      <x:c r="P14" s="21" t="str">
        <x:v>Article</x:v>
      </x:c>
      <x:c r="Q14" s="23" t="str">
        <x:v>9</x:v>
      </x:c>
      <x:c r="R14" s="23" t="str">
        <x:v>13</x:v>
      </x:c>
      <x:c r="S14" s="23" t="str">
        <x:v>1</x:v>
      </x:c>
      <x:c r="T14" s="23" t="str">
        <x:v>0</x:v>
      </x:c>
      <x:c r="U14" s="23" t="str">
        <x:v>0</x:v>
      </x:c>
      <x:c r="V14" s="23" t="str">
        <x:v>0</x:v>
      </x:c>
      <x:c r="W14" s="23" t="str">
        <x:v>0</x:v>
      </x:c>
      <x:c r="X14" s="23" t="str">
        <x:v>0</x:v>
      </x:c>
      <x:c r="Y14" s="21" t="str">
        <x:v>eligible_with_study_context</x:v>
      </x:c>
      <x:c r="Z14" s="21" t="str">
        <x:v>complete</x:v>
      </x:c>
      <x:c r="AA14" s="21" t="str">
        <x:v>Source SCR-00763 supplies 9 evidence, 13 metric, and 1 governed tradeoff rows; use gate: eligible_with_study_context.</x:v>
      </x:c>
    </x:row>
    <x:row r="15" ht="42" customHeight="1">
      <x:c r="A15" s="21" t="str">
        <x:v>STC-III-NITRIDE-MOTION-VLC-2023</x:v>
      </x:c>
      <x:c r="B15" s="21" t="str">
        <x:v>OISAC_SCR00763</x:v>
      </x:c>
      <x:c r="C15" s="21" t="str">
        <x:v>RPT-SCR-00619-01</x:v>
      </x:c>
      <x:c r="D15" s="21" t="str">
        <x:v>SCR-00619</x:v>
      </x:c>
      <x:c r="E15" s="21" t="str">
        <x:v>OISAC_SCR00619</x:v>
      </x:c>
      <x:c r="F15" s="21" t="str">
        <x:v>\cite{OISAC_SCR00619}</x:v>
      </x:c>
      <x:c r="G15" s="21" t="str">
        <x:v>supplementary_source</x:v>
      </x:c>
      <x:c r="H15" s="21" t="str">
        <x:v>RPT02</x:v>
      </x:c>
      <x:c r="I15" s="21" t="str">
        <x:v>companion_report</x:v>
      </x:c>
      <x:c r="J15" s="21" t="str">
        <x:v>Integrated Nitride optoelectronic chip for motion detection and visible light communication; [运动探测及可见光通信一体化氮化物光电子芯片]</x:v>
      </x:c>
      <x:c r="K15" s="21" t="str">
        <x:v>Feng X.-X.; Han M.-Y.; Chen M.-P.; Fang Q.; Wang Y.-J.; Li X.</x:v>
      </x:c>
      <x:c r="L15" s="23" t="str">
        <x:v>2023</x:v>
      </x:c>
      <x:c r="M15" s="21" t="str">
        <x:v>Chinese Optics</x:v>
      </x:c>
      <x:c r="N15" s="21" t="str">
        <x:v>10.37188/co.2023-0028</x:v>
      </x:c>
      <x:c r="O15" s="21" t="str">
        <x:v>https://doi.org/10.37188/co.2023-0028</x:v>
      </x:c>
      <x:c r="P15" s="21" t="str">
        <x:v>Article</x:v>
      </x:c>
      <x:c r="Q15" s="23" t="str">
        <x:v>10</x:v>
      </x:c>
      <x:c r="R15" s="23" t="str">
        <x:v>16</x:v>
      </x:c>
      <x:c r="S15" s="23" t="str">
        <x:v>1</x:v>
      </x:c>
      <x:c r="T15" s="23" t="str">
        <x:v>0</x:v>
      </x:c>
      <x:c r="U15" s="23" t="str">
        <x:v>0</x:v>
      </x:c>
      <x:c r="V15" s="23" t="str">
        <x:v>0</x:v>
      </x:c>
      <x:c r="W15" s="23" t="str">
        <x:v>0</x:v>
      </x:c>
      <x:c r="X15" s="23" t="str">
        <x:v>0</x:v>
      </x:c>
      <x:c r="Y15" s="21" t="str">
        <x:v>eligible_with_study_context</x:v>
      </x:c>
      <x:c r="Z15" s="21" t="str">
        <x:v>complete</x:v>
      </x:c>
      <x:c r="AA15" s="21" t="str">
        <x:v>Source SCR-00619 supplies 10 evidence, 16 metric, and 1 governed tradeoff rows; use gate: eligible_with_study_context.</x:v>
      </x:c>
    </x:row>
    <x:row r="16" ht="42" customHeight="1">
      <x:c r="A16" s="21" t="str">
        <x:v>STC-LED-OISAC-2024-2025</x:v>
      </x:c>
      <x:c r="B16" s="21" t="str">
        <x:v>OISAC_SCR00901</x:v>
      </x:c>
      <x:c r="C16" s="21" t="str">
        <x:v>RPT-SCR-00901-01</x:v>
      </x:c>
      <x:c r="D16" s="21" t="str">
        <x:v>SCR-00901</x:v>
      </x:c>
      <x:c r="E16" s="21" t="str">
        <x:v>OISAC_SCR00901</x:v>
      </x:c>
      <x:c r="F16" s="21" t="str">
        <x:v>\cite{OISAC_SCR00901}</x:v>
      </x:c>
      <x:c r="G16" s="21" t="str">
        <x:v>primary_source</x:v>
      </x:c>
      <x:c r="H16" s="21" t="str">
        <x:v>RPT02</x:v>
      </x:c>
      <x:c r="I16" s="21" t="str">
        <x:v>journal_version</x:v>
      </x:c>
      <x:c r="J16" s="21" t="str">
        <x:v>Optical Integrated Sensing and Communication With Light-Emitting Diode</x:v>
      </x:c>
      <x:c r="K16" s="21" t="str">
        <x:v>R. Zhang; Y. Shao; M. Li; L. Lu; Y. C. Eldar</x:v>
      </x:c>
      <x:c r="L16" s="23" t="str">
        <x:v>2025</x:v>
      </x:c>
      <x:c r="M16" s="21" t="str">
        <x:v>IEEE Internet of Things Journal</x:v>
      </x:c>
      <x:c r="N16" s="21" t="str">
        <x:v>10.1109/jiot.2024.3523045</x:v>
      </x:c>
      <x:c r="O16" s="21" t="str">
        <x:v>https://doi.org/10.1109/jiot.2024.3523045</x:v>
      </x:c>
      <x:c r="P16" s="21" t="str">
        <x:v>IEEE Journals</x:v>
      </x:c>
      <x:c r="Q16" s="23" t="str">
        <x:v>13</x:v>
      </x:c>
      <x:c r="R16" s="23" t="str">
        <x:v>30</x:v>
      </x:c>
      <x:c r="S16" s="23" t="str">
        <x:v>0</x:v>
      </x:c>
      <x:c r="T16" s="23" t="str">
        <x:v>0</x:v>
      </x:c>
      <x:c r="U16" s="23" t="str">
        <x:v>0</x:v>
      </x:c>
      <x:c r="V16" s="23" t="str">
        <x:v>0</x:v>
      </x:c>
      <x:c r="W16" s="23" t="str">
        <x:v>0</x:v>
      </x:c>
      <x:c r="X16" s="23" t="str">
        <x:v>0</x:v>
      </x:c>
      <x:c r="Y16" s="21" t="str">
        <x:v>eligible_with_study_context</x:v>
      </x:c>
      <x:c r="Z16" s="21" t="str">
        <x:v>complete</x:v>
      </x:c>
      <x:c r="AA16" s="21" t="str">
        <x:v>Source SCR-00901 supplies 13 evidence, 30 metric, and 0 governed tradeoff rows; use gate: eligible_with_study_context.</x:v>
      </x:c>
    </x:row>
    <x:row r="17" ht="42" customHeight="1">
      <x:c r="A17" s="21" t="str">
        <x:v>STC-MMW-OFDM-PENG-2023-2024</x:v>
      </x:c>
      <x:c r="B17" s="21" t="str">
        <x:v>OISAC_SCR00889</x:v>
      </x:c>
      <x:c r="C17" s="21" t="str">
        <x:v>RPT-SCR-00889-01</x:v>
      </x:c>
      <x:c r="D17" s="21" t="str">
        <x:v>SCR-00889</x:v>
      </x:c>
      <x:c r="E17" s="21" t="str">
        <x:v>OISAC_SCR00889</x:v>
      </x:c>
      <x:c r="F17" s="21" t="str">
        <x:v>\cite{OISAC_SCR00889}</x:v>
      </x:c>
      <x:c r="G17" s="21" t="str">
        <x:v>primary_source</x:v>
      </x:c>
      <x:c r="H17" s="21" t="str">
        <x:v>RPT02</x:v>
      </x:c>
      <x:c r="I17" s="21" t="str">
        <x:v>journal_version</x:v>
      </x:c>
      <x:c r="J17" s="21" t="str">
        <x:v>Photonics-assisted integrated sensing and communication with ranging resolution improvement by multiple signal classification</x:v>
      </x:c>
      <x:c r="K17" s="21" t="str">
        <x:v>Peng L.; Yin M.; Zou D.; Yang N.; Xiao Y.; Li F.</x:v>
      </x:c>
      <x:c r="L17" s="23" t="str">
        <x:v>2024</x:v>
      </x:c>
      <x:c r="M17" s="21" t="str">
        <x:v>Optics Express</x:v>
      </x:c>
      <x:c r="N17" s="21" t="str">
        <x:v>10.1364/oe.525854</x:v>
      </x:c>
      <x:c r="O17" s="21" t="str">
        <x:v>https://doi.org/10.1364/oe.525854</x:v>
      </x:c>
      <x:c r="P17" s="21" t="str">
        <x:v>Article</x:v>
      </x:c>
      <x:c r="Q17" s="23" t="str">
        <x:v>11</x:v>
      </x:c>
      <x:c r="R17" s="23" t="str">
        <x:v>25</x:v>
      </x:c>
      <x:c r="S17" s="23" t="str">
        <x:v>2</x:v>
      </x:c>
      <x:c r="T17" s="23" t="str">
        <x:v>0</x:v>
      </x:c>
      <x:c r="U17" s="23" t="str">
        <x:v>0</x:v>
      </x:c>
      <x:c r="V17" s="23" t="str">
        <x:v>0</x:v>
      </x:c>
      <x:c r="W17" s="23" t="str">
        <x:v>0</x:v>
      </x:c>
      <x:c r="X17" s="23" t="str">
        <x:v>0</x:v>
      </x:c>
      <x:c r="Y17" s="21" t="str">
        <x:v>eligible_with_study_context</x:v>
      </x:c>
      <x:c r="Z17" s="21" t="str">
        <x:v>complete</x:v>
      </x:c>
      <x:c r="AA17" s="21" t="str">
        <x:v>Source SCR-00889 supplies 11 evidence, 25 metric, and 2 governed tradeoff rows; use gate: eligible_with_study_context.</x:v>
      </x:c>
    </x:row>
    <x:row r="18" ht="42" customHeight="1">
      <x:c r="A18" s="21" t="str">
        <x:v>STC-MMW-OFDM-PENG-2023-2024</x:v>
      </x:c>
      <x:c r="B18" s="21" t="str">
        <x:v>OISAC_SCR00889</x:v>
      </x:c>
      <x:c r="C18" s="21" t="str">
        <x:v>RPT-SCR-00900-01</x:v>
      </x:c>
      <x:c r="D18" s="21" t="str">
        <x:v>SCR-00900</x:v>
      </x:c>
      <x:c r="E18" s="21" t="str">
        <x:v>OISAC_SCR00900</x:v>
      </x:c>
      <x:c r="F18" s="21" t="str">
        <x:v>\cite{OISAC_SCR00900}</x:v>
      </x:c>
      <x:c r="G18" s="21" t="str">
        <x:v>supplementary_source</x:v>
      </x:c>
      <x:c r="H18" s="21" t="str">
        <x:v>RPT02</x:v>
      </x:c>
      <x:c r="I18" s="21" t="str">
        <x:v>conference_version</x:v>
      </x:c>
      <x:c r="J18" s="21" t="str">
        <x:v>A Photonics-aided MMW OFDM Joint Radar and Communication System with Velocity Accuracy Improvement</x:v>
      </x:c>
      <x:c r="K18" s="21" t="str">
        <x:v>Peng L.; Luo D.; Xiao Y.; Li F.</x:v>
      </x:c>
      <x:c r="L18" s="23" t="str">
        <x:v>2023</x:v>
      </x:c>
      <x:c r="M18" s="21" t="str">
        <x:v>APSCON 2023 - IEEE Applied Sensing Conference, Symposium Proceedings</x:v>
      </x:c>
      <x:c r="N18" s="21" t="str">
        <x:v>10.1109/apscon56343.2023.10101228</x:v>
      </x:c>
      <x:c r="O18" s="21" t="str">
        <x:v>https://doi.org/10.1109/apscon56343.2023.10101228</x:v>
      </x:c>
      <x:c r="P18" s="21" t="str">
        <x:v>Conference paper</x:v>
      </x:c>
      <x:c r="Q18" s="23" t="str">
        <x:v>4</x:v>
      </x:c>
      <x:c r="R18" s="23" t="str">
        <x:v>12</x:v>
      </x:c>
      <x:c r="S18" s="23" t="str">
        <x:v>1</x:v>
      </x:c>
      <x:c r="T18" s="23" t="str">
        <x:v>0</x:v>
      </x:c>
      <x:c r="U18" s="23" t="str">
        <x:v>0</x:v>
      </x:c>
      <x:c r="V18" s="23" t="str">
        <x:v>0</x:v>
      </x:c>
      <x:c r="W18" s="23" t="str">
        <x:v>0</x:v>
      </x:c>
      <x:c r="X18" s="23" t="str">
        <x:v>0</x:v>
      </x:c>
      <x:c r="Y18" s="21" t="str">
        <x:v>eligible_with_study_context</x:v>
      </x:c>
      <x:c r="Z18" s="21" t="str">
        <x:v>complete</x:v>
      </x:c>
      <x:c r="AA18" s="21" t="str">
        <x:v>Source SCR-00900 supplies 4 evidence, 12 metric, and 1 governed tradeoff rows; use gate: eligible_with_study_context.</x:v>
      </x:c>
    </x:row>
    <x:row r="19" ht="42" customHeight="1">
      <x:c r="A19" s="21" t="str">
        <x:v>STC-MULTICHANNEL-LFM-QAM-THZ-2024-2026</x:v>
      </x:c>
      <x:c r="B19" s="21" t="str">
        <x:v>OISAC_SCR00988</x:v>
      </x:c>
      <x:c r="C19" s="21" t="str">
        <x:v>RPT-SCR-00988-01</x:v>
      </x:c>
      <x:c r="D19" s="21" t="str">
        <x:v>SCR-00988</x:v>
      </x:c>
      <x:c r="E19" s="21" t="str">
        <x:v>OISAC_SCR00988</x:v>
      </x:c>
      <x:c r="F19" s="21" t="str">
        <x:v>\cite{OISAC_SCR00988}</x:v>
      </x:c>
      <x:c r="G19" s="21" t="str">
        <x:v>primary_source</x:v>
      </x:c>
      <x:c r="H19" s="21" t="str">
        <x:v>RPT02</x:v>
      </x:c>
      <x:c r="I19" s="21" t="str">
        <x:v>journal_version</x:v>
      </x:c>
      <x:c r="J19" s="21" t="str">
        <x:v>Multi-Channel Photonic THz-ISAC System Based on Integrated LFM-QAM Waveform</x:v>
      </x:c>
      <x:c r="K19" s="21" t="str">
        <x:v>Z. Lyu; L. Zhang; H. Zhang; Z. Yang; C. Zhang; H. Yang; N. Li; V. Bobrovs; O. Ozolins; X. Pang; G. Liu; X. Yu</x:v>
      </x:c>
      <x:c r="L19" s="23" t="str">
        <x:v>2024</x:v>
      </x:c>
      <x:c r="M19" s="21" t="str">
        <x:v>Journal of Lightwave Technology</x:v>
      </x:c>
      <x:c r="N19" s="21" t="str">
        <x:v>10.1109/jlt.2024.3392282</x:v>
      </x:c>
      <x:c r="O19" s="21" t="str">
        <x:v>https://doi.org/10.1109/jlt.2024.3392282</x:v>
      </x:c>
      <x:c r="P19" s="21" t="str">
        <x:v>IEEE Journals</x:v>
      </x:c>
      <x:c r="Q19" s="23" t="str">
        <x:v>14</x:v>
      </x:c>
      <x:c r="R19" s="23" t="str">
        <x:v>25</x:v>
      </x:c>
      <x:c r="S19" s="23" t="str">
        <x:v>1</x:v>
      </x:c>
      <x:c r="T19" s="23" t="str">
        <x:v>0</x:v>
      </x:c>
      <x:c r="U19" s="23" t="str">
        <x:v>0</x:v>
      </x:c>
      <x:c r="V19" s="23" t="str">
        <x:v>0</x:v>
      </x:c>
      <x:c r="W19" s="23" t="str">
        <x:v>0</x:v>
      </x:c>
      <x:c r="X19" s="23" t="str">
        <x:v>0</x:v>
      </x:c>
      <x:c r="Y19" s="21" t="str">
        <x:v>eligible_with_study_context</x:v>
      </x:c>
      <x:c r="Z19" s="21" t="str">
        <x:v>complete</x:v>
      </x:c>
      <x:c r="AA19" s="21" t="str">
        <x:v>Source SCR-00988 supplies 14 evidence, 25 metric, and 1 governed tradeoff rows; use gate: eligible_with_study_context.</x:v>
      </x:c>
    </x:row>
    <x:row r="20" ht="42" customHeight="1">
      <x:c r="A20" s="21" t="str">
        <x:v>STC-MULTICHANNEL-LFM-QAM-THZ-2024-2026</x:v>
      </x:c>
      <x:c r="B20" s="21" t="str">
        <x:v>OISAC_SCR00988</x:v>
      </x:c>
      <x:c r="C20" s="21" t="str">
        <x:v>RPT-SCR-00440-01</x:v>
      </x:c>
      <x:c r="D20" s="21" t="str">
        <x:v>SCR-00440</x:v>
      </x:c>
      <x:c r="E20" s="21" t="str">
        <x:v>OISAC_SCR00440</x:v>
      </x:c>
      <x:c r="F20" s="21" t="str">
        <x:v>\cite{OISAC_SCR00440}</x:v>
      </x:c>
      <x:c r="G20" s="21" t="str">
        <x:v>supplementary_source</x:v>
      </x:c>
      <x:c r="H20" s="21" t="str">
        <x:v>RPT02</x:v>
      </x:c>
      <x:c r="I20" s="21" t="str">
        <x:v>conference_version</x:v>
      </x:c>
      <x:c r="J20" s="21" t="str">
        <x:v>Photonic THz-ISAC Demonstration with Simultaneous 120Gbit/s Communication and 2.5mm Sensing Resolution</x:v>
      </x:c>
      <x:c r="K20" s="21" t="str">
        <x:v>Lyu Z.; Lu Z.; Yang Z.; Zhang H.; Zhang C.; Yang H.; Li N.; Bobrovs V.; Ozolins O.; Pang X.; Yu X.</x:v>
      </x:c>
      <x:c r="L20" s="23" t="str">
        <x:v>2023</x:v>
      </x:c>
      <x:c r="M20" s="21" t="str">
        <x:v>IET Conference Proceedings</x:v>
      </x:c>
      <x:c r="N20" s="21" t="str">
        <x:v>10.1049/icp.2023.2658</x:v>
      </x:c>
      <x:c r="O20" s="21" t="str">
        <x:v>https://doi.org/10.1049/icp.2023.2658</x:v>
      </x:c>
      <x:c r="P20" s="21" t="str">
        <x:v>Conference paper</x:v>
      </x:c>
      <x:c r="Q20" s="23" t="str">
        <x:v>2</x:v>
      </x:c>
      <x:c r="R20" s="23" t="str">
        <x:v>1</x:v>
      </x:c>
      <x:c r="S20" s="23" t="str">
        <x:v>0</x:v>
      </x:c>
      <x:c r="T20" s="23" t="str">
        <x:v>0</x:v>
      </x:c>
      <x:c r="U20" s="23" t="str">
        <x:v>0</x:v>
      </x:c>
      <x:c r="V20" s="23" t="str">
        <x:v>0</x:v>
      </x:c>
      <x:c r="W20" s="23" t="str">
        <x:v>0</x:v>
      </x:c>
      <x:c r="X20" s="23" t="str">
        <x:v>0</x:v>
      </x:c>
      <x:c r="Y20" s="21" t="str">
        <x:v>eligible_with_study_context</x:v>
      </x:c>
      <x:c r="Z20" s="21" t="str">
        <x:v>complete</x:v>
      </x:c>
      <x:c r="AA20" s="21" t="str">
        <x:v>Source SCR-00440 supplies 2 evidence, 1 metric, and 0 governed tradeoff rows; use gate: eligible_with_study_context.</x:v>
      </x:c>
    </x:row>
    <x:row r="21" ht="42" customHeight="1">
      <x:c r="A21" s="21" t="str">
        <x:v>STC-OCDM-THZ-OVER-FIBER-2024-2025</x:v>
      </x:c>
      <x:c r="B21" s="21" t="str">
        <x:v>OISAC_SCR00993</x:v>
      </x:c>
      <x:c r="C21" s="21" t="str">
        <x:v>RPT-SCR-00993-01</x:v>
      </x:c>
      <x:c r="D21" s="21" t="str">
        <x:v>SCR-00993</x:v>
      </x:c>
      <x:c r="E21" s="21" t="str">
        <x:v>OISAC_SCR00993</x:v>
      </x:c>
      <x:c r="F21" s="21" t="str">
        <x:v>\cite{OISAC_SCR00993}</x:v>
      </x:c>
      <x:c r="G21" s="21" t="str">
        <x:v>primary_source</x:v>
      </x:c>
      <x:c r="H21" s="21" t="str">
        <x:v>RPT02</x:v>
      </x:c>
      <x:c r="I21" s="21" t="str">
        <x:v>journal_version</x:v>
      </x:c>
      <x:c r="J21" s="21" t="str">
        <x:v>THz-Over-Fiber System With Orthogonal Chirp Division Multiplexing for Integrated Sensing and Communication</x:v>
      </x:c>
      <x:c r="K21" s="21" t="str">
        <x:v>L. Li; L. Zhang; H. Zhang; Z. Lyu; Z. Yang; X. Pang; V. Bobrovs; O. Ozolins; H. Zhao; F. Li; C. Zhang; X. Yu</x:v>
      </x:c>
      <x:c r="L21" s="23" t="str">
        <x:v>2024</x:v>
      </x:c>
      <x:c r="M21" s="21" t="str">
        <x:v>Journal of Lightwave Technology</x:v>
      </x:c>
      <x:c r="N21" s="21" t="str">
        <x:v>10.1109/jlt.2023.3311645</x:v>
      </x:c>
      <x:c r="O21" s="21" t="str">
        <x:v>https://doi.org/10.1109/jlt.2023.3311645</x:v>
      </x:c>
      <x:c r="P21" s="21" t="str">
        <x:v>IEEE Journals</x:v>
      </x:c>
      <x:c r="Q21" s="23" t="str">
        <x:v>12</x:v>
      </x:c>
      <x:c r="R21" s="23" t="str">
        <x:v>25</x:v>
      </x:c>
      <x:c r="S21" s="23" t="str">
        <x:v>2</x:v>
      </x:c>
      <x:c r="T21" s="23" t="str">
        <x:v>0</x:v>
      </x:c>
      <x:c r="U21" s="23" t="str">
        <x:v>0</x:v>
      </x:c>
      <x:c r="V21" s="23" t="str">
        <x:v>0</x:v>
      </x:c>
      <x:c r="W21" s="23" t="str">
        <x:v>0</x:v>
      </x:c>
      <x:c r="X21" s="23" t="str">
        <x:v>0</x:v>
      </x:c>
      <x:c r="Y21" s="21" t="str">
        <x:v>eligible_with_study_context</x:v>
      </x:c>
      <x:c r="Z21" s="21" t="str">
        <x:v>complete</x:v>
      </x:c>
      <x:c r="AA21" s="21" t="str">
        <x:v>Source SCR-00993 supplies 12 evidence, 25 metric, and 2 governed tradeoff rows; use gate: eligible_with_study_context.</x:v>
      </x:c>
    </x:row>
    <x:row r="22" ht="42" customHeight="1">
      <x:c r="A22" s="21" t="str">
        <x:v>STC-OCDM-THZ-OVER-FIBER-2024-2025</x:v>
      </x:c>
      <x:c r="B22" s="21" t="str">
        <x:v>OISAC_SCR00993</x:v>
      </x:c>
      <x:c r="C22" s="21" t="str">
        <x:v>RPT-SCR-01149-01</x:v>
      </x:c>
      <x:c r="D22" s="21" t="str">
        <x:v>SCR-01149</x:v>
      </x:c>
      <x:c r="E22" s="21" t="str">
        <x:v>OISAC_SCR01149</x:v>
      </x:c>
      <x:c r="F22" s="21" t="str">
        <x:v>\cite{OISAC_SCR01149}</x:v>
      </x:c>
      <x:c r="G22" s="21" t="str">
        <x:v>supplementary_source</x:v>
      </x:c>
      <x:c r="H22" s="21" t="str">
        <x:v>RPT02</x:v>
      </x:c>
      <x:c r="I22" s="21" t="str">
        <x:v>conference_version</x:v>
      </x:c>
      <x:c r="J22" s="21" t="str">
        <x:v>THz-over-fiber system with orthogonal chirp division multiplexing for integrated sensing and communication</x:v>
      </x:c>
      <x:c r="K22" s="21" t="str">
        <x:v>L. Li; L. Zhang; H. Zhang; Z. Lyu; Z. Yang; C. Zhang; X. Yu</x:v>
      </x:c>
      <x:c r="L22" s="23" t="str">
        <x:v>2023</x:v>
      </x:c>
      <x:c r="M22" s="21" t="str">
        <x:v>2023 Opto-Electronics and Communications Conference (OECC)</x:v>
      </x:c>
      <x:c r="N22" s="21" t="str">
        <x:v>10.1109/oecc56963.2023.10209717</x:v>
      </x:c>
      <x:c r="O22" s="21" t="str">
        <x:v>https://doi.org/10.1109/oecc56963.2023.10209717</x:v>
      </x:c>
      <x:c r="P22" s="21" t="str">
        <x:v>IEEE Conferences</x:v>
      </x:c>
      <x:c r="Q22" s="23" t="str">
        <x:v>3</x:v>
      </x:c>
      <x:c r="R22" s="23" t="str">
        <x:v>1</x:v>
      </x:c>
      <x:c r="S22" s="23" t="str">
        <x:v>0</x:v>
      </x:c>
      <x:c r="T22" s="23" t="str">
        <x:v>0</x:v>
      </x:c>
      <x:c r="U22" s="23" t="str">
        <x:v>0</x:v>
      </x:c>
      <x:c r="V22" s="23" t="str">
        <x:v>0</x:v>
      </x:c>
      <x:c r="W22" s="23" t="str">
        <x:v>0</x:v>
      </x:c>
      <x:c r="X22" s="23" t="str">
        <x:v>0</x:v>
      </x:c>
      <x:c r="Y22" s="21" t="str">
        <x:v>eligible_with_study_context</x:v>
      </x:c>
      <x:c r="Z22" s="21" t="str">
        <x:v>complete</x:v>
      </x:c>
      <x:c r="AA22" s="21" t="str">
        <x:v>Source SCR-01149 supplies 3 evidence, 1 metric, and 0 governed tradeoff rows; use gate: eligible_with_study_context.</x:v>
      </x:c>
    </x:row>
    <x:row r="23" ht="42" customHeight="1">
      <x:c r="A23" s="21" t="str">
        <x:v>STC-ODDM-PHOTONIC-MMW-2024-2025</x:v>
      </x:c>
      <x:c r="B23" s="21" t="str">
        <x:v>OISAC_SCR00973</x:v>
      </x:c>
      <x:c r="C23" s="21" t="str">
        <x:v>RPT-SCR-00973-01</x:v>
      </x:c>
      <x:c r="D23" s="21" t="str">
        <x:v>SCR-00973</x:v>
      </x:c>
      <x:c r="E23" s="21" t="str">
        <x:v>OISAC_SCR00973</x:v>
      </x:c>
      <x:c r="F23" s="21" t="str">
        <x:v>\cite{OISAC_SCR00973}</x:v>
      </x:c>
      <x:c r="G23" s="21" t="str">
        <x:v>primary_source</x:v>
      </x:c>
      <x:c r="H23" s="21" t="str">
        <x:v>RPT02</x:v>
      </x:c>
      <x:c r="I23" s="21" t="str">
        <x:v>journal_version</x:v>
      </x:c>
      <x:c r="J23" s="21" t="str">
        <x:v>Photonics-Assisted mmWave Integrated Sensing and Communication System Enabled by ODDM Waveform</x:v>
      </x:c>
      <x:c r="K23" s="21" t="str">
        <x:v>Y. Wang; W. Lu; Y. Song; J. Yu</x:v>
      </x:c>
      <x:c r="L23" s="23" t="str">
        <x:v>2026</x:v>
      </x:c>
      <x:c r="M23" s="21" t="str">
        <x:v>IEEE Transactions on Microwave Theory and Techniques</x:v>
      </x:c>
      <x:c r="N23" s="21" t="str">
        <x:v>10.1109/tmtt.2025.3648450</x:v>
      </x:c>
      <x:c r="O23" s="21" t="str">
        <x:v>https://doi.org/10.1109/tmtt.2025.3648450</x:v>
      </x:c>
      <x:c r="P23" s="21" t="str">
        <x:v>IEEE Journals</x:v>
      </x:c>
      <x:c r="Q23" s="23" t="str">
        <x:v>15</x:v>
      </x:c>
      <x:c r="R23" s="23" t="str">
        <x:v>34</x:v>
      </x:c>
      <x:c r="S23" s="23" t="str">
        <x:v>0</x:v>
      </x:c>
      <x:c r="T23" s="23" t="str">
        <x:v>0</x:v>
      </x:c>
      <x:c r="U23" s="23" t="str">
        <x:v>0</x:v>
      </x:c>
      <x:c r="V23" s="23" t="str">
        <x:v>0</x:v>
      </x:c>
      <x:c r="W23" s="23" t="str">
        <x:v>0</x:v>
      </x:c>
      <x:c r="X23" s="23" t="str">
        <x:v>0</x:v>
      </x:c>
      <x:c r="Y23" s="21" t="str">
        <x:v>eligible_with_study_context</x:v>
      </x:c>
      <x:c r="Z23" s="21" t="str">
        <x:v>complete</x:v>
      </x:c>
      <x:c r="AA23" s="21" t="str">
        <x:v>Source SCR-00973 supplies 15 evidence, 34 metric, and 0 governed tradeoff rows; use gate: eligible_with_study_context.</x:v>
      </x:c>
    </x:row>
    <x:row r="24" ht="42" customHeight="1">
      <x:c r="A24" s="21" t="str">
        <x:v>STC-ODDM-PHOTONIC-MMW-2024-2025</x:v>
      </x:c>
      <x:c r="B24" s="21" t="str">
        <x:v>OISAC_SCR00973</x:v>
      </x:c>
      <x:c r="C24" s="21" t="str">
        <x:v>RPT-SCR-01005-01</x:v>
      </x:c>
      <x:c r="D24" s="21" t="str">
        <x:v>SCR-01005</x:v>
      </x:c>
      <x:c r="E24" s="21" t="str">
        <x:v>OISAC_SCR01005</x:v>
      </x:c>
      <x:c r="F24" s="21" t="str">
        <x:v>\cite{OISAC_SCR01005}</x:v>
      </x:c>
      <x:c r="G24" s="21" t="str">
        <x:v>supplementary_source</x:v>
      </x:c>
      <x:c r="H24" s="21" t="str">
        <x:v>RPT02</x:v>
      </x:c>
      <x:c r="I24" s="21" t="str">
        <x:v>conference_version</x:v>
      </x:c>
      <x:c r="J24" s="21" t="str">
        <x:v>Experimental Demonstration of a Photonics-Assisted mmWave ISAC System Using ODDM Waveform</x:v>
      </x:c>
      <x:c r="K24" s="21" t="str">
        <x:v>Y. Wang; W. Lu; Y. Song</x:v>
      </x:c>
      <x:c r="L24" s="23" t="str">
        <x:v>2026</x:v>
      </x:c>
      <x:c r="M24" s="21" t="str">
        <x:v>2026 Optical Fiber Communications Conference and Exhibition (OFC)</x:v>
      </x:c>
      <x:c r="N24" s="21" t="str"/>
      <x:c r="O24" s="21" t="str">
        <x:v>https://ieeexplore.ieee.org/document/11524336</x:v>
      </x:c>
      <x:c r="P24" s="21" t="str">
        <x:v>IEEE Conferences</x:v>
      </x:c>
      <x:c r="Q24" s="23" t="str">
        <x:v>2</x:v>
      </x:c>
      <x:c r="R24" s="23" t="str">
        <x:v>2</x:v>
      </x:c>
      <x:c r="S24" s="23" t="str">
        <x:v>0</x:v>
      </x:c>
      <x:c r="T24" s="23" t="str">
        <x:v>0</x:v>
      </x:c>
      <x:c r="U24" s="23" t="str">
        <x:v>0</x:v>
      </x:c>
      <x:c r="V24" s="23" t="str">
        <x:v>0</x:v>
      </x:c>
      <x:c r="W24" s="23" t="str">
        <x:v>0</x:v>
      </x:c>
      <x:c r="X24" s="23" t="str">
        <x:v>0</x:v>
      </x:c>
      <x:c r="Y24" s="21" t="str">
        <x:v>eligible_with_study_context</x:v>
      </x:c>
      <x:c r="Z24" s="21" t="str">
        <x:v>complete</x:v>
      </x:c>
      <x:c r="AA24" s="21" t="str">
        <x:v>Source SCR-01005 supplies 2 evidence, 2 metric, and 0 governed tradeoff rows; use gate: eligible_with_study_context.</x:v>
      </x:c>
    </x:row>
    <x:row r="25" ht="42" customHeight="1">
      <x:c r="A25" s="21" t="str">
        <x:v>STC-OPA-OWISAC-BEAMFORMING-2024-2025</x:v>
      </x:c>
      <x:c r="B25" s="21" t="str">
        <x:v>OISAC_SCR00940</x:v>
      </x:c>
      <x:c r="C25" s="21" t="str">
        <x:v>RPT-SCR-00940-01</x:v>
      </x:c>
      <x:c r="D25" s="21" t="str">
        <x:v>SCR-00940</x:v>
      </x:c>
      <x:c r="E25" s="21" t="str">
        <x:v>OISAC_SCR00940</x:v>
      </x:c>
      <x:c r="F25" s="21" t="str">
        <x:v>\cite{OISAC_SCR00940}</x:v>
      </x:c>
      <x:c r="G25" s="21" t="str">
        <x:v>primary_source</x:v>
      </x:c>
      <x:c r="H25" s="21" t="str">
        <x:v>RPT02</x:v>
      </x:c>
      <x:c r="I25" s="21" t="str">
        <x:v>journal_version</x:v>
      </x:c>
      <x:c r="J25" s="21" t="str">
        <x:v>Optical Wireless Integrated Sensing and Communication Based on Optical Phased Array: Performance Metric and Optimal Beamforming</x:v>
      </x:c>
      <x:c r="K25" s="21" t="str">
        <x:v>Y. Wen; F. Yang; J. Song; Z. Han</x:v>
      </x:c>
      <x:c r="L25" s="23" t="str">
        <x:v>2025</x:v>
      </x:c>
      <x:c r="M25" s="21" t="str">
        <x:v>IEEE Transactions on Wireless Communications</x:v>
      </x:c>
      <x:c r="N25" s="21" t="str">
        <x:v>10.1109/twc.2025.3559254</x:v>
      </x:c>
      <x:c r="O25" s="21" t="str">
        <x:v>https://doi.org/10.1109/twc.2025.3559254</x:v>
      </x:c>
      <x:c r="P25" s="21" t="str">
        <x:v>IEEE Journals</x:v>
      </x:c>
      <x:c r="Q25" s="23" t="str">
        <x:v>13</x:v>
      </x:c>
      <x:c r="R25" s="23" t="str">
        <x:v>25</x:v>
      </x:c>
      <x:c r="S25" s="23" t="str">
        <x:v>1</x:v>
      </x:c>
      <x:c r="T25" s="23" t="str">
        <x:v>0</x:v>
      </x:c>
      <x:c r="U25" s="23" t="str">
        <x:v>0</x:v>
      </x:c>
      <x:c r="V25" s="23" t="str">
        <x:v>0</x:v>
      </x:c>
      <x:c r="W25" s="23" t="str">
        <x:v>0</x:v>
      </x:c>
      <x:c r="X25" s="23" t="str">
        <x:v>0</x:v>
      </x:c>
      <x:c r="Y25" s="21" t="str">
        <x:v>eligible_with_study_context</x:v>
      </x:c>
      <x:c r="Z25" s="21" t="str">
        <x:v>complete</x:v>
      </x:c>
      <x:c r="AA25" s="21" t="str">
        <x:v>Source SCR-00940 supplies 13 evidence, 25 metric, and 1 governed tradeoff rows; use gate: eligible_with_study_context.</x:v>
      </x:c>
    </x:row>
    <x:row r="26" ht="42" customHeight="1">
      <x:c r="A26" s="21" t="str">
        <x:v>STC-OPA-OWISAC-BEAMFORMING-2024-2025</x:v>
      </x:c>
      <x:c r="B26" s="21" t="str">
        <x:v>OISAC_SCR00940</x:v>
      </x:c>
      <x:c r="C26" s="21" t="str">
        <x:v>RPT-SCR-00945-01</x:v>
      </x:c>
      <x:c r="D26" s="21" t="str">
        <x:v>SCR-00945</x:v>
      </x:c>
      <x:c r="E26" s="21" t="str">
        <x:v>OISAC_SCR00945</x:v>
      </x:c>
      <x:c r="F26" s="21" t="str">
        <x:v>\cite{OISAC_SCR00945}</x:v>
      </x:c>
      <x:c r="G26" s="21" t="str">
        <x:v>supplementary_source</x:v>
      </x:c>
      <x:c r="H26" s="21" t="str">
        <x:v>RPT02</x:v>
      </x:c>
      <x:c r="I26" s="21" t="str">
        <x:v>conference_version</x:v>
      </x:c>
      <x:c r="J26" s="21" t="str">
        <x:v>Optimal Beamforming for Optical Wireless Integrated Sensing and Communication Based on Optical Phased Array</x:v>
      </x:c>
      <x:c r="K26" s="21" t="str">
        <x:v>Y. Wen; F. Yang; J. Song; Z. Han</x:v>
      </x:c>
      <x:c r="L26" s="23" t="str">
        <x:v>2025</x:v>
      </x:c>
      <x:c r="M26" s="21" t="str">
        <x:v>ICC 2025 - IEEE International Conference on Communications</x:v>
      </x:c>
      <x:c r="N26" s="21" t="str">
        <x:v>10.1109/icc52391.2025.11160979</x:v>
      </x:c>
      <x:c r="O26" s="21" t="str">
        <x:v>https://doi.org/10.1109/icc52391.2025.11160979</x:v>
      </x:c>
      <x:c r="P26" s="21" t="str">
        <x:v>IEEE Conferences</x:v>
      </x:c>
      <x:c r="Q26" s="23" t="str">
        <x:v>4</x:v>
      </x:c>
      <x:c r="R26" s="23" t="str">
        <x:v>5</x:v>
      </x:c>
      <x:c r="S26" s="23" t="str">
        <x:v>0</x:v>
      </x:c>
      <x:c r="T26" s="23" t="str">
        <x:v>0</x:v>
      </x:c>
      <x:c r="U26" s="23" t="str">
        <x:v>0</x:v>
      </x:c>
      <x:c r="V26" s="23" t="str">
        <x:v>0</x:v>
      </x:c>
      <x:c r="W26" s="23" t="str">
        <x:v>0</x:v>
      </x:c>
      <x:c r="X26" s="23" t="str">
        <x:v>0</x:v>
      </x:c>
      <x:c r="Y26" s="21" t="str">
        <x:v>eligible_with_study_context</x:v>
      </x:c>
      <x:c r="Z26" s="21" t="str">
        <x:v>complete</x:v>
      </x:c>
      <x:c r="AA26" s="21" t="str">
        <x:v>Source SCR-00945 supplies 4 evidence, 5 metric, and 0 governed tradeoff rows; use gate: eligible_with_study_context.</x:v>
      </x:c>
    </x:row>
    <x:row r="27" ht="42" customHeight="1">
      <x:c r="A27" s="21" t="str">
        <x:v>STC-REALTIME-BIDIR-DMT-THZ-2024-2026</x:v>
      </x:c>
      <x:c r="B27" s="21" t="str">
        <x:v>OISAC_SCR01054</x:v>
      </x:c>
      <x:c r="C27" s="21" t="str">
        <x:v>RPT-SCR-01054-01</x:v>
      </x:c>
      <x:c r="D27" s="21" t="str">
        <x:v>SCR-01054</x:v>
      </x:c>
      <x:c r="E27" s="21" t="str">
        <x:v>OISAC_SCR01054</x:v>
      </x:c>
      <x:c r="F27" s="21" t="str">
        <x:v>\cite{OISAC_SCR01054}</x:v>
      </x:c>
      <x:c r="G27" s="21" t="str">
        <x:v>primary_source</x:v>
      </x:c>
      <x:c r="H27" s="21" t="str">
        <x:v>RPT02</x:v>
      </x:c>
      <x:c r="I27" s="21" t="str">
        <x:v>journal_version</x:v>
      </x:c>
      <x:c r="J27" s="21" t="str">
        <x:v>Real-Time Integrated Sensing with 5.08 mm Range Resolution and 15.5 Gbps Bidirectional Wireless Communication Over a 270-Meter Outdoor Photonic-Assisted Terahertz Link</x:v>
      </x:c>
      <x:c r="K27" s="21" t="str">
        <x:v>Q. Wang; W. Zhou; S. Xu; S. Wang; J. Zhang; X. Lu; J. Chen; C. Bian; J. Lin; J. Ge; Z. Ou; T. Wang; Y. Ma; T. Zhang; W. Li; K. Wang; J. Yu</x:v>
      </x:c>
      <x:c r="L27" s="23" t="str">
        <x:v>2026</x:v>
      </x:c>
      <x:c r="M27" s="21" t="str">
        <x:v>IEEE Photonics Journal</x:v>
      </x:c>
      <x:c r="N27" s="21" t="str">
        <x:v>10.1109/jphot.2026.3695349</x:v>
      </x:c>
      <x:c r="O27" s="21" t="str">
        <x:v>https://doi.org/10.1109/jphot.2026.3695349</x:v>
      </x:c>
      <x:c r="P27" s="21" t="str">
        <x:v>IEEE Journals</x:v>
      </x:c>
      <x:c r="Q27" s="23" t="str">
        <x:v>12</x:v>
      </x:c>
      <x:c r="R27" s="23" t="str">
        <x:v>20</x:v>
      </x:c>
      <x:c r="S27" s="23" t="str">
        <x:v>2</x:v>
      </x:c>
      <x:c r="T27" s="23" t="str">
        <x:v>0</x:v>
      </x:c>
      <x:c r="U27" s="23" t="str">
        <x:v>0</x:v>
      </x:c>
      <x:c r="V27" s="23" t="str">
        <x:v>0</x:v>
      </x:c>
      <x:c r="W27" s="23" t="str">
        <x:v>0</x:v>
      </x:c>
      <x:c r="X27" s="23" t="str">
        <x:v>0</x:v>
      </x:c>
      <x:c r="Y27" s="21" t="str">
        <x:v>eligible_with_study_context</x:v>
      </x:c>
      <x:c r="Z27" s="21" t="str">
        <x:v>complete</x:v>
      </x:c>
      <x:c r="AA27" s="21" t="str">
        <x:v>Source SCR-01054 supplies 12 evidence, 20 metric, and 2 governed tradeoff rows; use gate: eligible_with_study_context.</x:v>
      </x:c>
    </x:row>
    <x:row r="28" ht="42" customHeight="1">
      <x:c r="A28" s="21" t="str">
        <x:v>STC-REALTIME-BIDIR-DMT-THZ-2024-2026</x:v>
      </x:c>
      <x:c r="B28" s="21" t="str">
        <x:v>OISAC_SCR01054</x:v>
      </x:c>
      <x:c r="C28" s="21" t="str">
        <x:v>RPT-SCR-01065-01</x:v>
      </x:c>
      <x:c r="D28" s="21" t="str">
        <x:v>SCR-01065</x:v>
      </x:c>
      <x:c r="E28" s="21" t="str">
        <x:v>OISAC_SCR01065</x:v>
      </x:c>
      <x:c r="F28" s="21" t="str">
        <x:v>\cite{OISAC_SCR01065}</x:v>
      </x:c>
      <x:c r="G28" s="21" t="str">
        <x:v>supplementary_source</x:v>
      </x:c>
      <x:c r="H28" s="21" t="str">
        <x:v>RPT02</x:v>
      </x:c>
      <x:c r="I28" s="21" t="str">
        <x:v>conference_version</x:v>
      </x:c>
      <x:c r="J28" s="21" t="str">
        <x:v>Real-time Integrated 1.37 Centimetres Range Resolution and 15.5 Gbps Communication in Long-rang Bidirectional Photonic-assisted Terahertz Band System</x:v>
      </x:c>
      <x:c r="K28" s="21" t="str">
        <x:v>Q. Wang; W. Zhou; J. Zhang; J. Ge; S. Xu; S. Wang; X. Lu; J. Chen; C. Bian; X. Yang; W. Li; K. Wang; J. Yu</x:v>
      </x:c>
      <x:c r="L28" s="23" t="str">
        <x:v>2025</x:v>
      </x:c>
      <x:c r="M28" s="21" t="str">
        <x:v>2025 European Conference on Optical Communications (ECOC)</x:v>
      </x:c>
      <x:c r="N28" s="21" t="str">
        <x:v>10.1109/ecoc66593.2025.11263106</x:v>
      </x:c>
      <x:c r="O28" s="21" t="str">
        <x:v>https://doi.org/10.1109/ecoc66593.2025.11263106</x:v>
      </x:c>
      <x:c r="P28" s="21" t="str">
        <x:v>IEEE Conferences</x:v>
      </x:c>
      <x:c r="Q28" s="23" t="str">
        <x:v>4</x:v>
      </x:c>
      <x:c r="R28" s="23" t="str">
        <x:v>1</x:v>
      </x:c>
      <x:c r="S28" s="23" t="str">
        <x:v>0</x:v>
      </x:c>
      <x:c r="T28" s="23" t="str">
        <x:v>0</x:v>
      </x:c>
      <x:c r="U28" s="23" t="str">
        <x:v>0</x:v>
      </x:c>
      <x:c r="V28" s="23" t="str">
        <x:v>0</x:v>
      </x:c>
      <x:c r="W28" s="23" t="str">
        <x:v>0</x:v>
      </x:c>
      <x:c r="X28" s="23" t="str">
        <x:v>0</x:v>
      </x:c>
      <x:c r="Y28" s="21" t="str">
        <x:v>eligible_with_study_context</x:v>
      </x:c>
      <x:c r="Z28" s="21" t="str">
        <x:v>complete</x:v>
      </x:c>
      <x:c r="AA28" s="21" t="str">
        <x:v>Source SCR-01065 supplies 4 evidence, 1 metric, and 0 governed tradeoff rows; use gate: eligible_with_study_context.</x:v>
      </x:c>
    </x:row>
    <x:row r="29" ht="42" customHeight="1">
      <x:c r="A29" s="21" t="str">
        <x:v>STC-REALTIME-BIDIR-DMT-THZ-2024-2026</x:v>
      </x:c>
      <x:c r="B29" s="21" t="str">
        <x:v>OISAC_SCR01054</x:v>
      </x:c>
      <x:c r="C29" s="21" t="str">
        <x:v>RPT-SCR-01184-01</x:v>
      </x:c>
      <x:c r="D29" s="21" t="str">
        <x:v>SCR-01184</x:v>
      </x:c>
      <x:c r="E29" s="21" t="str">
        <x:v>OISAC_SCR01184</x:v>
      </x:c>
      <x:c r="F29" s="21" t="str">
        <x:v>\cite{OISAC_SCR01184}</x:v>
      </x:c>
      <x:c r="G29" s="21" t="str">
        <x:v>supplementary_source</x:v>
      </x:c>
      <x:c r="H29" s="21" t="str">
        <x:v>RPT02</x:v>
      </x:c>
      <x:c r="I29" s="21" t="str">
        <x:v>companion_report</x:v>
      </x:c>
      <x:c r="J29" s="21" t="str">
        <x:v>Real-time integrated 2.04 cm range resolution and 16.14-Gbps bidirectional wireless communication in photonic-assisted millimeter wave band system over 100 m</x:v>
      </x:c>
      <x:c r="K29" s="21" t="str">
        <x:v>Qihang WangWen ZhouJie ZhangJingtao GeSicong XuSiqi WangXin LuJiali ChenChengzhen BianXiongwei YangWeiping LiKaihui WangJianjun Yu</x:v>
      </x:c>
      <x:c r="L29" s="23" t="str">
        <x:v>2026</x:v>
      </x:c>
      <x:c r="M29" s="21" t="str">
        <x:v>Science China Information Sciences</x:v>
      </x:c>
      <x:c r="N29" s="21" t="str">
        <x:v>10.1007/s11432-025-4704-9</x:v>
      </x:c>
      <x:c r="O29" s="21" t="str">
        <x:v>https://doi.org/10.1007/s11432-025-4704-9</x:v>
      </x:c>
      <x:c r="P29" s="21" t="str">
        <x:v>Article</x:v>
      </x:c>
      <x:c r="Q29" s="23" t="str">
        <x:v>4</x:v>
      </x:c>
      <x:c r="R29" s="23" t="str">
        <x:v>1</x:v>
      </x:c>
      <x:c r="S29" s="23" t="str">
        <x:v>0</x:v>
      </x:c>
      <x:c r="T29" s="23" t="str">
        <x:v>0</x:v>
      </x:c>
      <x:c r="U29" s="23" t="str">
        <x:v>0</x:v>
      </x:c>
      <x:c r="V29" s="23" t="str">
        <x:v>0</x:v>
      </x:c>
      <x:c r="W29" s="23" t="str">
        <x:v>0</x:v>
      </x:c>
      <x:c r="X29" s="23" t="str">
        <x:v>0</x:v>
      </x:c>
      <x:c r="Y29" s="21" t="str">
        <x:v>eligible_with_study_context</x:v>
      </x:c>
      <x:c r="Z29" s="21" t="str">
        <x:v>complete</x:v>
      </x:c>
      <x:c r="AA29" s="21" t="str">
        <x:v>Source SCR-01184 supplies 4 evidence, 1 metric, and 0 governed tradeoff rows; use gate: eligible_with_study_context.</x:v>
      </x:c>
    </x:row>
    <x:row r="30" ht="42" customHeight="1">
      <x:c r="A30" s="21" t="str">
        <x:v>STC-SELF-HOMODYNE-MCF-OFDR-2024-2025</x:v>
      </x:c>
      <x:c r="B30" s="21" t="str">
        <x:v>OISAC_SCR01015</x:v>
      </x:c>
      <x:c r="C30" s="21" t="str">
        <x:v>RPT-SCR-01015-01</x:v>
      </x:c>
      <x:c r="D30" s="21" t="str">
        <x:v>SCR-01015</x:v>
      </x:c>
      <x:c r="E30" s="21" t="str">
        <x:v>OISAC_SCR01015</x:v>
      </x:c>
      <x:c r="F30" s="21" t="str">
        <x:v>\cite{OISAC_SCR01015}</x:v>
      </x:c>
      <x:c r="G30" s="21" t="str">
        <x:v>primary_source</x:v>
      </x:c>
      <x:c r="H30" s="21" t="str">
        <x:v>RPT02</x:v>
      </x:c>
      <x:c r="I30" s="21" t="str">
        <x:v>journal_version</x:v>
      </x:c>
      <x:c r="J30" s="21" t="str">
        <x:v>Integrated Sensing and Communication in Self-Homodyne MCF Transmission Systems With Linear Frequency Modulation</x:v>
      </x:c>
      <x:c r="K30" s="21" t="str">
        <x:v>B. Yin; S. Chen; H. He; Y. Li; M. Zhang; Y. Shi; Z. Zhao; M. Tang</x:v>
      </x:c>
      <x:c r="L30" s="23" t="str">
        <x:v>2026</x:v>
      </x:c>
      <x:c r="M30" s="21" t="str">
        <x:v>Journal of Lightwave Technology</x:v>
      </x:c>
      <x:c r="N30" s="21" t="str">
        <x:v>10.1109/jlt.2026.3669555</x:v>
      </x:c>
      <x:c r="O30" s="21" t="str">
        <x:v>https://doi.org/10.1109/jlt.2026.3669555</x:v>
      </x:c>
      <x:c r="P30" s="21" t="str">
        <x:v>IEEE Journals</x:v>
      </x:c>
      <x:c r="Q30" s="23" t="str">
        <x:v>13</x:v>
      </x:c>
      <x:c r="R30" s="23" t="str">
        <x:v>21</x:v>
      </x:c>
      <x:c r="S30" s="23" t="str">
        <x:v>4</x:v>
      </x:c>
      <x:c r="T30" s="23" t="str">
        <x:v>0</x:v>
      </x:c>
      <x:c r="U30" s="23" t="str">
        <x:v>0</x:v>
      </x:c>
      <x:c r="V30" s="23" t="str">
        <x:v>0</x:v>
      </x:c>
      <x:c r="W30" s="23" t="str">
        <x:v>0</x:v>
      </x:c>
      <x:c r="X30" s="23" t="str">
        <x:v>0</x:v>
      </x:c>
      <x:c r="Y30" s="21" t="str">
        <x:v>eligible_with_study_context</x:v>
      </x:c>
      <x:c r="Z30" s="21" t="str">
        <x:v>complete</x:v>
      </x:c>
      <x:c r="AA30" s="21" t="str">
        <x:v>Source SCR-01015 supplies 13 evidence, 21 metric, and 4 governed tradeoff rows; use gate: eligible_with_study_context.</x:v>
      </x:c>
    </x:row>
    <x:row r="31" ht="42" customHeight="1">
      <x:c r="A31" s="21" t="str">
        <x:v>STC-SELF-HOMODYNE-MCF-OFDR-2024-2025</x:v>
      </x:c>
      <x:c r="B31" s="21" t="str">
        <x:v>OISAC_SCR01015</x:v>
      </x:c>
      <x:c r="C31" s="21" t="str">
        <x:v>RPT-SCR-00984-01</x:v>
      </x:c>
      <x:c r="D31" s="21" t="str">
        <x:v>SCR-00984</x:v>
      </x:c>
      <x:c r="E31" s="21" t="str">
        <x:v>OISAC_SCR00984</x:v>
      </x:c>
      <x:c r="F31" s="21" t="str">
        <x:v>\cite{OISAC_SCR00984}</x:v>
      </x:c>
      <x:c r="G31" s="21" t="str">
        <x:v>supplementary_source</x:v>
      </x:c>
      <x:c r="H31" s="21" t="str">
        <x:v>RPT02</x:v>
      </x:c>
      <x:c r="I31" s="21" t="str">
        <x:v>conference_version</x:v>
      </x:c>
      <x:c r="J31" s="21" t="str">
        <x:v>LFM Carrier Enabled Integrated Sensing and Communication in Self-homodyne Coherent Detection Transmission System</x:v>
      </x:c>
      <x:c r="K31" s="21" t="str">
        <x:v>S. Chen; B. Yin; H. He; Y. Shi; M. Zhang; Z. Zhao; M. Tang</x:v>
      </x:c>
      <x:c r="L31" s="23" t="str">
        <x:v>2025</x:v>
      </x:c>
      <x:c r="M31" s="21" t="str">
        <x:v>2025 European Conference on Optical Communications (ECOC)</x:v>
      </x:c>
      <x:c r="N31" s="21" t="str">
        <x:v>10.1109/ecoc66593.2025.11262927</x:v>
      </x:c>
      <x:c r="O31" s="21" t="str">
        <x:v>https://doi.org/10.1109/ecoc66593.2025.11262927</x:v>
      </x:c>
      <x:c r="P31" s="21" t="str">
        <x:v>IEEE Conferences</x:v>
      </x:c>
      <x:c r="Q31" s="23" t="str">
        <x:v>4</x:v>
      </x:c>
      <x:c r="R31" s="23" t="str">
        <x:v>2</x:v>
      </x:c>
      <x:c r="S31" s="23" t="str">
        <x:v>0</x:v>
      </x:c>
      <x:c r="T31" s="23" t="str">
        <x:v>0</x:v>
      </x:c>
      <x:c r="U31" s="23" t="str">
        <x:v>0</x:v>
      </x:c>
      <x:c r="V31" s="23" t="str">
        <x:v>0</x:v>
      </x:c>
      <x:c r="W31" s="23" t="str">
        <x:v>0</x:v>
      </x:c>
      <x:c r="X31" s="23" t="str">
        <x:v>0</x:v>
      </x:c>
      <x:c r="Y31" s="21" t="str">
        <x:v>eligible_with_study_context</x:v>
      </x:c>
      <x:c r="Z31" s="21" t="str">
        <x:v>complete</x:v>
      </x:c>
      <x:c r="AA31" s="21" t="str">
        <x:v>Source SCR-00984 supplies 4 evidence, 2 metric, and 0 governed tradeoff rows; use gate: eligible_with_study_context.</x:v>
      </x:c>
    </x:row>
    <x:row r="32" ht="42" customHeight="1">
      <x:c r="A32" s="21" t="str">
        <x:v>STC-SEVENCORE-COMB-SH-DAS-2024-2025</x:v>
      </x:c>
      <x:c r="B32" s="21" t="str">
        <x:v>OISAC_SCR00346</x:v>
      </x:c>
      <x:c r="C32" s="21" t="str">
        <x:v>RPT-SCR-00346-01</x:v>
      </x:c>
      <x:c r="D32" s="21" t="str">
        <x:v>SCR-00346</x:v>
      </x:c>
      <x:c r="E32" s="21" t="str">
        <x:v>OISAC_SCR00346</x:v>
      </x:c>
      <x:c r="F32" s="21" t="str">
        <x:v>\cite{OISAC_SCR00346}</x:v>
      </x:c>
      <x:c r="G32" s="21" t="str">
        <x:v>primary_source</x:v>
      </x:c>
      <x:c r="H32" s="21" t="str">
        <x:v>RPT02</x:v>
      </x:c>
      <x:c r="I32" s="21" t="str">
        <x:v>journal_version</x:v>
      </x:c>
      <x:c r="J32" s="21" t="str">
        <x:v>Integrating High-Capacity Self-Homodyne Transmission and High-Sensitivity Dual-Pulse ϕ-OTDR with an EO Comb over a 7-Core Fiber</x:v>
      </x:c>
      <x:c r="K32" s="21" t="str">
        <x:v>Liu X.; Zhang C.; Zou Y.; Chen Z.; Hu W.; He X.; Xie X.</x:v>
      </x:c>
      <x:c r="L32" s="23" t="str">
        <x:v>2026</x:v>
      </x:c>
      <x:c r="M32" s="21" t="str">
        <x:v>Photonics</x:v>
      </x:c>
      <x:c r="N32" s="21" t="str">
        <x:v>10.3390/photonics13030261</x:v>
      </x:c>
      <x:c r="O32" s="21" t="str">
        <x:v>https://doi.org/10.3390/photonics13030261</x:v>
      </x:c>
      <x:c r="P32" s="21" t="str">
        <x:v>Article</x:v>
      </x:c>
      <x:c r="Q32" s="23" t="str">
        <x:v>13</x:v>
      </x:c>
      <x:c r="R32" s="23" t="str">
        <x:v>11</x:v>
      </x:c>
      <x:c r="S32" s="23" t="str">
        <x:v>2</x:v>
      </x:c>
      <x:c r="T32" s="23" t="str">
        <x:v>0</x:v>
      </x:c>
      <x:c r="U32" s="23" t="str">
        <x:v>0</x:v>
      </x:c>
      <x:c r="V32" s="23" t="str">
        <x:v>0</x:v>
      </x:c>
      <x:c r="W32" s="23" t="str">
        <x:v>0</x:v>
      </x:c>
      <x:c r="X32" s="23" t="str">
        <x:v>0</x:v>
      </x:c>
      <x:c r="Y32" s="21" t="str">
        <x:v>eligible_with_study_context</x:v>
      </x:c>
      <x:c r="Z32" s="21" t="str">
        <x:v>complete</x:v>
      </x:c>
      <x:c r="AA32" s="21" t="str">
        <x:v>Source SCR-00346 supplies 13 evidence, 11 metric, and 2 governed tradeoff rows; use gate: eligible_with_study_context.</x:v>
      </x:c>
    </x:row>
    <x:row r="33" ht="42" customHeight="1">
      <x:c r="A33" s="21" t="str">
        <x:v>STC-SEVENCORE-COMB-SH-DAS-2024-2025</x:v>
      </x:c>
      <x:c r="B33" s="21" t="str">
        <x:v>OISAC_SCR00346</x:v>
      </x:c>
      <x:c r="C33" s="21" t="str">
        <x:v>RPT-SCR-01031-01</x:v>
      </x:c>
      <x:c r="D33" s="21" t="str">
        <x:v>SCR-01031</x:v>
      </x:c>
      <x:c r="E33" s="21" t="str">
        <x:v>OISAC_SCR01031</x:v>
      </x:c>
      <x:c r="F33" s="21" t="str">
        <x:v>\cite{OISAC_SCR01031}</x:v>
      </x:c>
      <x:c r="G33" s="21" t="str">
        <x:v>supplementary_source</x:v>
      </x:c>
      <x:c r="H33" s="21" t="str">
        <x:v>RPT02</x:v>
      </x:c>
      <x:c r="I33" s="21" t="str">
        <x:v>conference_version</x:v>
      </x:c>
      <x:c r="J33" s="21" t="str">
        <x:v>EO comb Enabled 10.56 Tbit/s Self-Homodyne Transmission and Enhanced ϕ-OTDR for ISAC with a 7-Core Fiber</x:v>
      </x:c>
      <x:c r="K33" s="21" t="str">
        <x:v>X. Liu; C. Zhang; Y. Zou; Z. Chen; W. Hu; X. He; X. Xie</x:v>
      </x:c>
      <x:c r="L33" s="23" t="str">
        <x:v>2025</x:v>
      </x:c>
      <x:c r="M33" s="21" t="str">
        <x:v>2025 Asia Communications and Photonics Conference (ACP)</x:v>
      </x:c>
      <x:c r="N33" s="21" t="str">
        <x:v>10.1109/acp66871.2025.11349820</x:v>
      </x:c>
      <x:c r="O33" s="21" t="str">
        <x:v>https://doi.org/10.1109/acp66871.2025.11349820</x:v>
      </x:c>
      <x:c r="P33" s="21" t="str">
        <x:v>IEEE Conferences</x:v>
      </x:c>
      <x:c r="Q33" s="23" t="str">
        <x:v>3</x:v>
      </x:c>
      <x:c r="R33" s="23" t="str">
        <x:v>0</x:v>
      </x:c>
      <x:c r="S33" s="23" t="str">
        <x:v>0</x:v>
      </x:c>
      <x:c r="T33" s="23" t="str">
        <x:v>0</x:v>
      </x:c>
      <x:c r="U33" s="23" t="str">
        <x:v>0</x:v>
      </x:c>
      <x:c r="V33" s="23" t="str">
        <x:v>0</x:v>
      </x:c>
      <x:c r="W33" s="23" t="str">
        <x:v>0</x:v>
      </x:c>
      <x:c r="X33" s="23" t="str">
        <x:v>0</x:v>
      </x:c>
      <x:c r="Y33" s="21" t="str">
        <x:v>eligible_with_study_context</x:v>
      </x:c>
      <x:c r="Z33" s="21" t="str">
        <x:v>complete</x:v>
      </x:c>
      <x:c r="AA33" s="21" t="str">
        <x:v>Source SCR-01031 supplies 3 evidence, 0 metric, and 0 governed tradeoff rows; use gate: eligible_with_study_context.</x:v>
      </x:c>
    </x:row>
    <x:row r="34" ht="42" customHeight="1">
      <x:c r="A34" s="21" t="str">
        <x:v>STC-SF-LFM-OFDM-THZ-2025-2026</x:v>
      </x:c>
      <x:c r="B34" s="21" t="str">
        <x:v>OISAC_SCR00978</x:v>
      </x:c>
      <x:c r="C34" s="21" t="str">
        <x:v>RPT-SCR-00978-01</x:v>
      </x:c>
      <x:c r="D34" s="21" t="str">
        <x:v>SCR-00978</x:v>
      </x:c>
      <x:c r="E34" s="21" t="str">
        <x:v>OISAC_SCR00978</x:v>
      </x:c>
      <x:c r="F34" s="21" t="str">
        <x:v>\cite{OISAC_SCR00978}</x:v>
      </x:c>
      <x:c r="G34" s="21" t="str">
        <x:v>primary_source</x:v>
      </x:c>
      <x:c r="H34" s="21" t="str">
        <x:v>RPT02</x:v>
      </x:c>
      <x:c r="I34" s="21" t="str">
        <x:v>journal_version</x:v>
      </x:c>
      <x:c r="J34" s="21" t="str">
        <x:v>Photonics-Aided THz Integrated Sensing and Communication System Based on a Time-Frequency Efficient SF-LFM-OFDM Waveform</x:v>
      </x:c>
      <x:c r="K34" s="21" t="str">
        <x:v>J. Zhang; M. Lei; M. Zhu; J. Ding; H. Liu; Q. Zhong; L. Zhang; B. Hua; Y. Cai; J. Zhang; X. Chen; S. Zhu; J. Yu</x:v>
      </x:c>
      <x:c r="L34" s="23" t="str">
        <x:v>2026</x:v>
      </x:c>
      <x:c r="M34" s="21" t="str">
        <x:v>IEEE Transactions on Microwave Theory and Techniques</x:v>
      </x:c>
      <x:c r="N34" s="21" t="str">
        <x:v>10.1109/tmtt.2026.3696308</x:v>
      </x:c>
      <x:c r="O34" s="21" t="str">
        <x:v>https://doi.org/10.1109/tmtt.2026.3696308</x:v>
      </x:c>
      <x:c r="P34" s="21" t="str">
        <x:v>IEEE Early Access Articles</x:v>
      </x:c>
      <x:c r="Q34" s="23" t="str">
        <x:v>12</x:v>
      </x:c>
      <x:c r="R34" s="23" t="str">
        <x:v>22</x:v>
      </x:c>
      <x:c r="S34" s="23" t="str">
        <x:v>2</x:v>
      </x:c>
      <x:c r="T34" s="23" t="str">
        <x:v>0</x:v>
      </x:c>
      <x:c r="U34" s="23" t="str">
        <x:v>0</x:v>
      </x:c>
      <x:c r="V34" s="23" t="str">
        <x:v>0</x:v>
      </x:c>
      <x:c r="W34" s="23" t="str">
        <x:v>0</x:v>
      </x:c>
      <x:c r="X34" s="23" t="str">
        <x:v>0</x:v>
      </x:c>
      <x:c r="Y34" s="21" t="str">
        <x:v>eligible_with_study_context</x:v>
      </x:c>
      <x:c r="Z34" s="21" t="str">
        <x:v>complete</x:v>
      </x:c>
      <x:c r="AA34" s="21" t="str">
        <x:v>Source SCR-00978 supplies 12 evidence, 22 metric, and 2 governed tradeoff rows; use gate: eligible_with_study_context.</x:v>
      </x:c>
    </x:row>
    <x:row r="35" ht="42" customHeight="1">
      <x:c r="A35" s="21" t="str">
        <x:v>STC-SF-LFM-OFDM-THZ-2025-2026</x:v>
      </x:c>
      <x:c r="B35" s="21" t="str">
        <x:v>OISAC_SCR00978</x:v>
      </x:c>
      <x:c r="C35" s="21" t="str">
        <x:v>RPT-SCR-01019-01</x:v>
      </x:c>
      <x:c r="D35" s="21" t="str">
        <x:v>SCR-01019</x:v>
      </x:c>
      <x:c r="E35" s="21" t="str">
        <x:v>OISAC_SCR01019</x:v>
      </x:c>
      <x:c r="F35" s="21" t="str">
        <x:v>\cite{OISAC_SCR01019}</x:v>
      </x:c>
      <x:c r="G35" s="21" t="str">
        <x:v>supplementary_source</x:v>
      </x:c>
      <x:c r="H35" s="21" t="str">
        <x:v>RPT02</x:v>
      </x:c>
      <x:c r="I35" s="21" t="str">
        <x:v>conference_version</x:v>
      </x:c>
      <x:c r="J35" s="21" t="str">
        <x:v>Photonics-assisted THz ISAC System Based on A Time-Frequency Efficient SF-LFM-OFDM Waveform</x:v>
      </x:c>
      <x:c r="K35" s="21" t="str">
        <x:v>M. Lei; J. Zhang; J. Ding; M. Zhu; H. Liu; Q. Zhong; L. Zhang; B. Hua; Y. Cai; J. Zhang; X. Chen; S. Zhu; J. Yu</x:v>
      </x:c>
      <x:c r="L35" s="23" t="str">
        <x:v>2026</x:v>
      </x:c>
      <x:c r="M35" s="21" t="str">
        <x:v>2026 Optical Fiber Communications Conference and Exhibition (OFC)</x:v>
      </x:c>
      <x:c r="N35" s="21" t="str"/>
      <x:c r="O35" s="21" t="str">
        <x:v>https://ieeexplore.ieee.org/document/11525205</x:v>
      </x:c>
      <x:c r="P35" s="21" t="str">
        <x:v>IEEE Conferences</x:v>
      </x:c>
      <x:c r="Q35" s="23" t="str">
        <x:v>5</x:v>
      </x:c>
      <x:c r="R35" s="23" t="str">
        <x:v>14</x:v>
      </x:c>
      <x:c r="S35" s="23" t="str">
        <x:v>1</x:v>
      </x:c>
      <x:c r="T35" s="23" t="str">
        <x:v>0</x:v>
      </x:c>
      <x:c r="U35" s="23" t="str">
        <x:v>0</x:v>
      </x:c>
      <x:c r="V35" s="23" t="str">
        <x:v>0</x:v>
      </x:c>
      <x:c r="W35" s="23" t="str">
        <x:v>0</x:v>
      </x:c>
      <x:c r="X35" s="23" t="str">
        <x:v>0</x:v>
      </x:c>
      <x:c r="Y35" s="21" t="str">
        <x:v>eligible_with_study_context</x:v>
      </x:c>
      <x:c r="Z35" s="21" t="str">
        <x:v>complete</x:v>
      </x:c>
      <x:c r="AA35" s="21" t="str">
        <x:v>Source SCR-01019 supplies 5 evidence, 14 metric, and 1 governed tradeoff rows; use gate: eligible_with_study_context.</x:v>
      </x:c>
    </x:row>
    <x:row r="36" ht="42" customHeight="1">
      <x:c r="A36" s="21" t="str">
        <x:v>STC-SINGLETON-SCR-00001</x:v>
      </x:c>
      <x:c r="B36" s="21" t="str">
        <x:v>OISAC_SCR00001</x:v>
      </x:c>
      <x:c r="C36" s="21" t="str">
        <x:v>RPT-SCR-00001-01</x:v>
      </x:c>
      <x:c r="D36" s="21" t="str">
        <x:v>SCR-00001</x:v>
      </x:c>
      <x:c r="E36" s="21" t="str">
        <x:v>OISAC_SCR00001</x:v>
      </x:c>
      <x:c r="F36" s="21" t="str">
        <x:v>\cite{OISAC_SCR00001}</x:v>
      </x:c>
      <x:c r="G36" s="21" t="str">
        <x:v>primary_source</x:v>
      </x:c>
      <x:c r="H36" s="21" t="str">
        <x:v>none</x:v>
      </x:c>
      <x:c r="I36" s="21" t="str">
        <x:v>standalone_primary_report</x:v>
      </x:c>
      <x:c r="J36" s="21" t="str">
        <x:v>High-Speed Flexible Near-Infrared Organic Photodetectors for Self-Powered Optical Integrated Sensing and Communications</x:v>
      </x:c>
      <x:c r="K36" s="21" t="str">
        <x:v>Xia Y.; Zhang J.; Guo T.; Wang H.; Geng C.; Zhu Y.; Han R.; Yang Y.; Song G.; Wan X.; Li G.; Chen Y.</x:v>
      </x:c>
      <x:c r="L36" s="23" t="str">
        <x:v>2025</x:v>
      </x:c>
      <x:c r="M36" s="21" t="str">
        <x:v>Advanced Functional Materials</x:v>
      </x:c>
      <x:c r="N36" s="21" t="str">
        <x:v>10.1002/adfm.202412813</x:v>
      </x:c>
      <x:c r="O36" s="21" t="str">
        <x:v>https://doi.org/10.1002/adfm.202412813</x:v>
      </x:c>
      <x:c r="P36" s="21" t="str">
        <x:v>Article</x:v>
      </x:c>
      <x:c r="Q36" s="23" t="str">
        <x:v>15</x:v>
      </x:c>
      <x:c r="R36" s="23" t="str">
        <x:v>8</x:v>
      </x:c>
      <x:c r="S36" s="23" t="str">
        <x:v>1</x:v>
      </x:c>
      <x:c r="T36" s="23" t="str">
        <x:v>0</x:v>
      </x:c>
      <x:c r="U36" s="23" t="str">
        <x:v>0</x:v>
      </x:c>
      <x:c r="V36" s="23" t="str">
        <x:v>0</x:v>
      </x:c>
      <x:c r="W36" s="23" t="str">
        <x:v>0</x:v>
      </x:c>
      <x:c r="X36" s="23" t="str">
        <x:v>0</x:v>
      </x:c>
      <x:c r="Y36" s="21" t="str">
        <x:v>eligible_with_study_context</x:v>
      </x:c>
      <x:c r="Z36" s="21" t="str">
        <x:v>complete</x:v>
      </x:c>
      <x:c r="AA36" s="21" t="str">
        <x:v>Source SCR-00001 supplies 15 evidence, 8 metric, and 1 governed tradeoff rows; use gate: eligible_with_study_context.</x:v>
      </x:c>
    </x:row>
    <x:row r="37" ht="42" customHeight="1">
      <x:c r="A37" s="21" t="str">
        <x:v>STC-SINGLETON-SCR-00002</x:v>
      </x:c>
      <x:c r="B37" s="21" t="str">
        <x:v>OISAC_SCR00002</x:v>
      </x:c>
      <x:c r="C37" s="21" t="str">
        <x:v>RPT-SCR-00002-01</x:v>
      </x:c>
      <x:c r="D37" s="21" t="str">
        <x:v>SCR-00002</x:v>
      </x:c>
      <x:c r="E37" s="21" t="str">
        <x:v>OISAC_SCR00002</x:v>
      </x:c>
      <x:c r="F37" s="21" t="str">
        <x:v>\cite{OISAC_SCR00002}</x:v>
      </x:c>
      <x:c r="G37" s="21" t="str">
        <x:v>primary_source</x:v>
      </x:c>
      <x:c r="H37" s="21" t="str">
        <x:v>none</x:v>
      </x:c>
      <x:c r="I37" s="21" t="str">
        <x:v>standalone_primary_report</x:v>
      </x:c>
      <x:c r="J37" s="21" t="str">
        <x:v>Integrated Optical Sensing and Communication (IOSAC) System Based on Hybrid-Waveguide Structures</x:v>
      </x:c>
      <x:c r="K37" s="21" t="str">
        <x:v>Ou X.; Qiu Y.; Luo M.; Li J.; He X.; Gao J.; Sun F.; Zhang P.; Yang G.; Du A.; Li B.; Liu Z.; Li Z.; Xie L.; Xiao X.; Luo J.; Wang W.; Tao J.; Yang Y.</x:v>
      </x:c>
      <x:c r="L37" s="23" t="str">
        <x:v>2024</x:v>
      </x:c>
      <x:c r="M37" s="21" t="str">
        <x:v>Advanced Materials Technologies</x:v>
      </x:c>
      <x:c r="N37" s="21" t="str">
        <x:v>10.1002/admt.202300998</x:v>
      </x:c>
      <x:c r="O37" s="21" t="str">
        <x:v>https://doi.org/10.1002/admt.202300998</x:v>
      </x:c>
      <x:c r="P37" s="21" t="str">
        <x:v>Article</x:v>
      </x:c>
      <x:c r="Q37" s="23" t="str">
        <x:v>13</x:v>
      </x:c>
      <x:c r="R37" s="23" t="str">
        <x:v>6</x:v>
      </x:c>
      <x:c r="S37" s="23" t="str">
        <x:v>1</x:v>
      </x:c>
      <x:c r="T37" s="23" t="str">
        <x:v>0</x:v>
      </x:c>
      <x:c r="U37" s="23" t="str">
        <x:v>0</x:v>
      </x:c>
      <x:c r="V37" s="23" t="str">
        <x:v>0</x:v>
      </x:c>
      <x:c r="W37" s="23" t="str">
        <x:v>0</x:v>
      </x:c>
      <x:c r="X37" s="23" t="str">
        <x:v>0</x:v>
      </x:c>
      <x:c r="Y37" s="21" t="str">
        <x:v>eligible_with_study_context</x:v>
      </x:c>
      <x:c r="Z37" s="21" t="str">
        <x:v>complete</x:v>
      </x:c>
      <x:c r="AA37" s="21" t="str">
        <x:v>Source SCR-00002 supplies 13 evidence, 6 metric, and 1 governed tradeoff rows; use gate: eligible_with_study_context.</x:v>
      </x:c>
    </x:row>
    <x:row r="38" ht="42" customHeight="1">
      <x:c r="A38" s="21" t="str">
        <x:v>STC-SINGLETON-SCR-00007</x:v>
      </x:c>
      <x:c r="B38" s="21" t="str">
        <x:v>OISAC_SCR00007</x:v>
      </x:c>
      <x:c r="C38" s="21" t="str">
        <x:v>RPT-SCR-00007-01</x:v>
      </x:c>
      <x:c r="D38" s="21" t="str">
        <x:v>SCR-00007</x:v>
      </x:c>
      <x:c r="E38" s="21" t="str">
        <x:v>OISAC_SCR00007</x:v>
      </x:c>
      <x:c r="F38" s="21" t="str">
        <x:v>\cite{OISAC_SCR00007}</x:v>
      </x:c>
      <x:c r="G38" s="21" t="str">
        <x:v>primary_source</x:v>
      </x:c>
      <x:c r="H38" s="21" t="str">
        <x:v>none</x:v>
      </x:c>
      <x:c r="I38" s="21" t="str">
        <x:v>standalone_primary_report</x:v>
      </x:c>
      <x:c r="J38" s="21" t="str">
        <x:v>OFDM-based optical integrated sensing and communication framework using embedded pilot subcarriers</x:v>
      </x:c>
      <x:c r="K38" s="21" t="str">
        <x:v>Ahmed M.F.; Mondal R.U.; Kabir M.; Rahman A.M.A.</x:v>
      </x:c>
      <x:c r="L38" s="23" t="str">
        <x:v>2026</x:v>
      </x:c>
      <x:c r="M38" s="21" t="str">
        <x:v>Optics Continuum</x:v>
      </x:c>
      <x:c r="N38" s="21" t="str">
        <x:v>10.1364/optcon.595843</x:v>
      </x:c>
      <x:c r="O38" s="21" t="str">
        <x:v>https://doi.org/10.1364/optcon.595843</x:v>
      </x:c>
      <x:c r="P38" s="21" t="str">
        <x:v>Article</x:v>
      </x:c>
      <x:c r="Q38" s="23" t="str">
        <x:v>66</x:v>
      </x:c>
      <x:c r="R38" s="23" t="str">
        <x:v>6</x:v>
      </x:c>
      <x:c r="S38" s="23" t="str">
        <x:v>2</x:v>
      </x:c>
      <x:c r="T38" s="23" t="str">
        <x:v>2</x:v>
      </x:c>
      <x:c r="U38" s="23" t="str">
        <x:v>0</x:v>
      </x:c>
      <x:c r="V38" s="23" t="str">
        <x:v>0</x:v>
      </x:c>
      <x:c r="W38" s="23" t="str">
        <x:v>0</x:v>
      </x:c>
      <x:c r="X38" s="23" t="str">
        <x:v>0</x:v>
      </x:c>
      <x:c r="Y38" s="21" t="str">
        <x:v>report_specific_guardrail</x:v>
      </x:c>
      <x:c r="Z38" s="21" t="str">
        <x:v>complete</x:v>
      </x:c>
      <x:c r="AA38" s="21" t="str">
        <x:v>Source SCR-00007 supplies 66 evidence, 6 metric, and 2 governed tradeoff rows; use gate: report_specific_guardrail.</x:v>
      </x:c>
    </x:row>
    <x:row r="39" ht="42" customHeight="1">
      <x:c r="A39" s="21" t="str">
        <x:v>STC-SINGLETON-SCR-00008</x:v>
      </x:c>
      <x:c r="B39" s="21" t="str">
        <x:v>OISAC_SCR00008</x:v>
      </x:c>
      <x:c r="C39" s="21" t="str">
        <x:v>RPT-SCR-00008-01</x:v>
      </x:c>
      <x:c r="D39" s="21" t="str">
        <x:v>SCR-00008</x:v>
      </x:c>
      <x:c r="E39" s="21" t="str">
        <x:v>OISAC_SCR00008</x:v>
      </x:c>
      <x:c r="F39" s="21" t="str">
        <x:v>\cite{OISAC_SCR00008}</x:v>
      </x:c>
      <x:c r="G39" s="21" t="str">
        <x:v>primary_source</x:v>
      </x:c>
      <x:c r="H39" s="21" t="str">
        <x:v>none</x:v>
      </x:c>
      <x:c r="I39" s="21" t="str">
        <x:v>standalone_primary_report</x:v>
      </x:c>
      <x:c r="J39" s="21" t="str">
        <x:v>Enhanced single-fiber bi-directional FT-DVS using a 600-kHz linewidth DBR laser with LPN compensation for O-ISAC [Invited]</x:v>
      </x:c>
      <x:c r="K39" s="21" t="str">
        <x:v>Liu F.; Zhu G.; Zhou X.</x:v>
      </x:c>
      <x:c r="L39" s="23" t="str">
        <x:v>2026</x:v>
      </x:c>
      <x:c r="M39" s="21" t="str">
        <x:v>Chinese Optics Letters</x:v>
      </x:c>
      <x:c r="N39" s="21" t="str">
        <x:v>10.3788/col202624.030006</x:v>
      </x:c>
      <x:c r="O39" s="21" t="str">
        <x:v>https://doi.org/10.3788/col202624.030006</x:v>
      </x:c>
      <x:c r="P39" s="21" t="str">
        <x:v>Article</x:v>
      </x:c>
      <x:c r="Q39" s="23" t="str">
        <x:v>50</x:v>
      </x:c>
      <x:c r="R39" s="23" t="str">
        <x:v>32</x:v>
      </x:c>
      <x:c r="S39" s="23" t="str">
        <x:v>3</x:v>
      </x:c>
      <x:c r="T39" s="23" t="str">
        <x:v>10</x:v>
      </x:c>
      <x:c r="U39" s="23" t="str">
        <x:v>0</x:v>
      </x:c>
      <x:c r="V39" s="23" t="str">
        <x:v>0</x:v>
      </x:c>
      <x:c r="W39" s="23" t="str">
        <x:v>0</x:v>
      </x:c>
      <x:c r="X39" s="23" t="str">
        <x:v>0</x:v>
      </x:c>
      <x:c r="Y39" s="21" t="str">
        <x:v>report_specific_guardrail</x:v>
      </x:c>
      <x:c r="Z39" s="21" t="str">
        <x:v>complete</x:v>
      </x:c>
      <x:c r="AA39" s="21" t="str">
        <x:v>Source SCR-00008 supplies 50 evidence, 32 metric, and 3 governed tradeoff rows; use gate: report_specific_guardrail.</x:v>
      </x:c>
    </x:row>
    <x:row r="40" ht="42" customHeight="1">
      <x:c r="A40" s="21" t="str">
        <x:v>STC-SINGLETON-SCR-00009</x:v>
      </x:c>
      <x:c r="B40" s="21" t="str">
        <x:v>OISAC_SCR00009</x:v>
      </x:c>
      <x:c r="C40" s="21" t="str">
        <x:v>RPT-SCR-00009-01</x:v>
      </x:c>
      <x:c r="D40" s="21" t="str">
        <x:v>SCR-00009</x:v>
      </x:c>
      <x:c r="E40" s="21" t="str">
        <x:v>OISAC_SCR00009</x:v>
      </x:c>
      <x:c r="F40" s="21" t="str">
        <x:v>\cite{OISAC_SCR00009}</x:v>
      </x:c>
      <x:c r="G40" s="21" t="str">
        <x:v>primary_source</x:v>
      </x:c>
      <x:c r="H40" s="21" t="str">
        <x:v>none</x:v>
      </x:c>
      <x:c r="I40" s="21" t="str">
        <x:v>standalone_primary_report</x:v>
      </x:c>
      <x:c r="J40" s="21" t="str">
        <x:v>Optical integrated sensing and communication (O-ISAC): A unified framework for 6G and AI-Powered intelligent networks</x:v>
      </x:c>
      <x:c r="K40" s="21" t="str">
        <x:v>Bansal A.; Bhatnagar A.; Sharma V.; Sharma N.</x:v>
      </x:c>
      <x:c r="L40" s="23" t="str">
        <x:v>2026</x:v>
      </x:c>
      <x:c r="M40" s="21" t="str">
        <x:v>Journal of Optical Communications</x:v>
      </x:c>
      <x:c r="N40" s="21" t="str">
        <x:v>10.1515/joc-2026-0007</x:v>
      </x:c>
      <x:c r="O40" s="21" t="str">
        <x:v>https://doi.org/10.1515/joc-2026-0007</x:v>
      </x:c>
      <x:c r="P40" s="21" t="str">
        <x:v>Article</x:v>
      </x:c>
      <x:c r="Q40" s="23" t="str">
        <x:v>11</x:v>
      </x:c>
      <x:c r="R40" s="23" t="str">
        <x:v>4</x:v>
      </x:c>
      <x:c r="S40" s="23" t="str">
        <x:v>1</x:v>
      </x:c>
      <x:c r="T40" s="23" t="str">
        <x:v>0</x:v>
      </x:c>
      <x:c r="U40" s="23" t="str">
        <x:v>0</x:v>
      </x:c>
      <x:c r="V40" s="23" t="str">
        <x:v>0</x:v>
      </x:c>
      <x:c r="W40" s="23" t="str">
        <x:v>0</x:v>
      </x:c>
      <x:c r="X40" s="23" t="str">
        <x:v>0</x:v>
      </x:c>
      <x:c r="Y40" s="21" t="str">
        <x:v>eligible_with_study_context</x:v>
      </x:c>
      <x:c r="Z40" s="21" t="str">
        <x:v>complete</x:v>
      </x:c>
      <x:c r="AA40" s="21" t="str">
        <x:v>Source SCR-00009 supplies 11 evidence, 4 metric, and 1 governed tradeoff rows; use gate: eligible_with_study_context.</x:v>
      </x:c>
    </x:row>
    <x:row r="41" ht="42" customHeight="1">
      <x:c r="A41" s="21" t="str">
        <x:v>STC-SINGLETON-SCR-00011</x:v>
      </x:c>
      <x:c r="B41" s="21" t="str">
        <x:v>OISAC_SCR00011</x:v>
      </x:c>
      <x:c r="C41" s="21" t="str">
        <x:v>RPT-SCR-00011-01</x:v>
      </x:c>
      <x:c r="D41" s="21" t="str">
        <x:v>SCR-00011</x:v>
      </x:c>
      <x:c r="E41" s="21" t="str">
        <x:v>OISAC_SCR00011</x:v>
      </x:c>
      <x:c r="F41" s="21" t="str">
        <x:v>\cite{OISAC_SCR00011}</x:v>
      </x:c>
      <x:c r="G41" s="21" t="str">
        <x:v>primary_source</x:v>
      </x:c>
      <x:c r="H41" s="21" t="str">
        <x:v>none</x:v>
      </x:c>
      <x:c r="I41" s="21" t="str">
        <x:v>standalone_primary_report</x:v>
      </x:c>
      <x:c r="J41" s="21" t="str">
        <x:v>Retroreflective optical ISAC using OFDM: channel modeling and performance analysis</x:v>
      </x:c>
      <x:c r="K41" s="21" t="str">
        <x:v>Cui Y.; Chen C.; Cai Y.; Zeng Z.; Liu M.; Ye J.; Shao S.; Haas H.</x:v>
      </x:c>
      <x:c r="L41" s="23" t="str">
        <x:v>2024</x:v>
      </x:c>
      <x:c r="M41" s="21" t="str">
        <x:v>Optics Letters</x:v>
      </x:c>
      <x:c r="N41" s="21" t="str">
        <x:v>10.1364/ol.528029</x:v>
      </x:c>
      <x:c r="O41" s="21" t="str">
        <x:v>https://doi.org/10.1364/ol.528029</x:v>
      </x:c>
      <x:c r="P41" s="21" t="str">
        <x:v>Article</x:v>
      </x:c>
      <x:c r="Q41" s="23" t="str">
        <x:v>12</x:v>
      </x:c>
      <x:c r="R41" s="23" t="str">
        <x:v>6</x:v>
      </x:c>
      <x:c r="S41" s="23" t="str">
        <x:v>2</x:v>
      </x:c>
      <x:c r="T41" s="23" t="str">
        <x:v>0</x:v>
      </x:c>
      <x:c r="U41" s="23" t="str">
        <x:v>0</x:v>
      </x:c>
      <x:c r="V41" s="23" t="str">
        <x:v>0</x:v>
      </x:c>
      <x:c r="W41" s="23" t="str">
        <x:v>0</x:v>
      </x:c>
      <x:c r="X41" s="23" t="str">
        <x:v>0</x:v>
      </x:c>
      <x:c r="Y41" s="21" t="str">
        <x:v>eligible_with_study_context</x:v>
      </x:c>
      <x:c r="Z41" s="21" t="str">
        <x:v>complete</x:v>
      </x:c>
      <x:c r="AA41" s="21" t="str">
        <x:v>Source SCR-00011 supplies 12 evidence, 6 metric, and 2 governed tradeoff rows; use gate: eligible_with_study_context.</x:v>
      </x:c>
    </x:row>
    <x:row r="42" ht="42" customHeight="1">
      <x:c r="A42" s="21" t="str">
        <x:v>STC-SINGLETON-SCR-00012</x:v>
      </x:c>
      <x:c r="B42" s="21" t="str">
        <x:v>OISAC_SCR00012</x:v>
      </x:c>
      <x:c r="C42" s="21" t="str">
        <x:v>RPT-SCR-00012-01</x:v>
      </x:c>
      <x:c r="D42" s="21" t="str">
        <x:v>SCR-00012</x:v>
      </x:c>
      <x:c r="E42" s="21" t="str">
        <x:v>OISAC_SCR00012</x:v>
      </x:c>
      <x:c r="F42" s="21" t="str">
        <x:v>\cite{OISAC_SCR00012}</x:v>
      </x:c>
      <x:c r="G42" s="21" t="str">
        <x:v>primary_source</x:v>
      </x:c>
      <x:c r="H42" s="21" t="str">
        <x:v>none</x:v>
      </x:c>
      <x:c r="I42" s="21" t="str">
        <x:v>standalone_primary_report</x:v>
      </x:c>
      <x:c r="J42" s="21" t="str">
        <x:v>Single-Source optical integrated sensing and communication (O-ISAC) with sequential target recognition</x:v>
      </x:c>
      <x:c r="K42" s="21" t="str">
        <x:v>Ye Z.; Liu L.; Lin Z.; Liu L.; Liu Z.; Fu H.Y.</x:v>
      </x:c>
      <x:c r="L42" s="23" t="str">
        <x:v>2026</x:v>
      </x:c>
      <x:c r="M42" s="21" t="str">
        <x:v>Optics and Laser Technology</x:v>
      </x:c>
      <x:c r="N42" s="21" t="str">
        <x:v>10.1016/j.optlastec.2026.114961</x:v>
      </x:c>
      <x:c r="O42" s="21" t="str">
        <x:v>https://doi.org/10.1016/j.optlastec.2026.114961</x:v>
      </x:c>
      <x:c r="P42" s="21" t="str">
        <x:v>Article</x:v>
      </x:c>
      <x:c r="Q42" s="23" t="str">
        <x:v>13</x:v>
      </x:c>
      <x:c r="R42" s="23" t="str">
        <x:v>8</x:v>
      </x:c>
      <x:c r="S42" s="23" t="str">
        <x:v>2</x:v>
      </x:c>
      <x:c r="T42" s="23" t="str">
        <x:v>0</x:v>
      </x:c>
      <x:c r="U42" s="23" t="str">
        <x:v>0</x:v>
      </x:c>
      <x:c r="V42" s="23" t="str">
        <x:v>0</x:v>
      </x:c>
      <x:c r="W42" s="23" t="str">
        <x:v>0</x:v>
      </x:c>
      <x:c r="X42" s="23" t="str">
        <x:v>0</x:v>
      </x:c>
      <x:c r="Y42" s="21" t="str">
        <x:v>eligible_with_study_context</x:v>
      </x:c>
      <x:c r="Z42" s="21" t="str">
        <x:v>complete</x:v>
      </x:c>
      <x:c r="AA42" s="21" t="str">
        <x:v>Source SCR-00012 supplies 13 evidence, 8 metric, and 2 governed tradeoff rows; use gate: eligible_with_study_context.</x:v>
      </x:c>
    </x:row>
    <x:row r="43" ht="42" customHeight="1">
      <x:c r="A43" s="21" t="str">
        <x:v>STC-SINGLETON-SCR-00013</x:v>
      </x:c>
      <x:c r="B43" s="21" t="str">
        <x:v>OISAC_SCR00013</x:v>
      </x:c>
      <x:c r="C43" s="21" t="str">
        <x:v>RPT-SCR-00013-01</x:v>
      </x:c>
      <x:c r="D43" s="21" t="str">
        <x:v>SCR-00013</x:v>
      </x:c>
      <x:c r="E43" s="21" t="str">
        <x:v>OISAC_SCR00013</x:v>
      </x:c>
      <x:c r="F43" s="21" t="str">
        <x:v>\cite{OISAC_SCR00013}</x:v>
      </x:c>
      <x:c r="G43" s="21" t="str">
        <x:v>primary_source</x:v>
      </x:c>
      <x:c r="H43" s="21" t="str">
        <x:v>none</x:v>
      </x:c>
      <x:c r="I43" s="21" t="str">
        <x:v>standalone_primary_report</x:v>
      </x:c>
      <x:c r="J43" s="21" t="str">
        <x:v>On the coexistence of distributed fiber optic sensing and IM/DD transmission via digital subcarrier multiplexing</x:v>
      </x:c>
      <x:c r="K43" s="21" t="str">
        <x:v>Wang J.; Lu L.; Zhang J.; Tao Lau A.P.; Li Z.; Lu C.</x:v>
      </x:c>
      <x:c r="L43" s="23" t="str">
        <x:v>2026</x:v>
      </x:c>
      <x:c r="M43" s="21" t="str">
        <x:v>Optics Express</x:v>
      </x:c>
      <x:c r="N43" s="21" t="str">
        <x:v>10.1364/oe.588592</x:v>
      </x:c>
      <x:c r="O43" s="21" t="str">
        <x:v>https://doi.org/10.1364/oe.588592</x:v>
      </x:c>
      <x:c r="P43" s="21" t="str">
        <x:v>Article</x:v>
      </x:c>
      <x:c r="Q43" s="23" t="str">
        <x:v>14</x:v>
      </x:c>
      <x:c r="R43" s="23" t="str">
        <x:v>9</x:v>
      </x:c>
      <x:c r="S43" s="23" t="str">
        <x:v>2</x:v>
      </x:c>
      <x:c r="T43" s="23" t="str">
        <x:v>0</x:v>
      </x:c>
      <x:c r="U43" s="23" t="str">
        <x:v>0</x:v>
      </x:c>
      <x:c r="V43" s="23" t="str">
        <x:v>0</x:v>
      </x:c>
      <x:c r="W43" s="23" t="str">
        <x:v>0</x:v>
      </x:c>
      <x:c r="X43" s="23" t="str">
        <x:v>0</x:v>
      </x:c>
      <x:c r="Y43" s="21" t="str">
        <x:v>eligible_with_study_context</x:v>
      </x:c>
      <x:c r="Z43" s="21" t="str">
        <x:v>complete</x:v>
      </x:c>
      <x:c r="AA43" s="21" t="str">
        <x:v>Source SCR-00013 supplies 14 evidence, 9 metric, and 2 governed tradeoff rows; use gate: eligible_with_study_context.</x:v>
      </x:c>
    </x:row>
    <x:row r="44" ht="42" customHeight="1">
      <x:c r="A44" s="21" t="str">
        <x:v>STC-SINGLETON-SCR-00015</x:v>
      </x:c>
      <x:c r="B44" s="21" t="str">
        <x:v>OISAC_SCR00015</x:v>
      </x:c>
      <x:c r="C44" s="21" t="str">
        <x:v>RPT-SCR-00015-01</x:v>
      </x:c>
      <x:c r="D44" s="21" t="str">
        <x:v>SCR-00015</x:v>
      </x:c>
      <x:c r="E44" s="21" t="str">
        <x:v>OISAC_SCR00015</x:v>
      </x:c>
      <x:c r="F44" s="21" t="str">
        <x:v>\cite{OISAC_SCR00015}</x:v>
      </x:c>
      <x:c r="G44" s="21" t="str">
        <x:v>primary_source</x:v>
      </x:c>
      <x:c r="H44" s="21" t="str">
        <x:v>none</x:v>
      </x:c>
      <x:c r="I44" s="21" t="str">
        <x:v>standalone_primary_report</x:v>
      </x:c>
      <x:c r="J44" s="21" t="str">
        <x:v>Integrated optical covert sensing and communication</x:v>
      </x:c>
      <x:c r="K44" s="21" t="str">
        <x:v>Zhu H.; Xu X.; Liu Z.; Zhang J.</x:v>
      </x:c>
      <x:c r="L44" s="23" t="str">
        <x:v>2025</x:v>
      </x:c>
      <x:c r="M44" s="21" t="str">
        <x:v>Chinese Optics Letters</x:v>
      </x:c>
      <x:c r="N44" s="21" t="str">
        <x:v>10.3788/col202523.020602</x:v>
      </x:c>
      <x:c r="O44" s="21" t="str">
        <x:v>https://doi.org/10.3788/col202523.020602</x:v>
      </x:c>
      <x:c r="P44" s="21" t="str">
        <x:v>Article</x:v>
      </x:c>
      <x:c r="Q44" s="23" t="str">
        <x:v>13</x:v>
      </x:c>
      <x:c r="R44" s="23" t="str">
        <x:v>5</x:v>
      </x:c>
      <x:c r="S44" s="23" t="str">
        <x:v>0</x:v>
      </x:c>
      <x:c r="T44" s="23" t="str">
        <x:v>0</x:v>
      </x:c>
      <x:c r="U44" s="23" t="str">
        <x:v>0</x:v>
      </x:c>
      <x:c r="V44" s="23" t="str">
        <x:v>0</x:v>
      </x:c>
      <x:c r="W44" s="23" t="str">
        <x:v>0</x:v>
      </x:c>
      <x:c r="X44" s="23" t="str">
        <x:v>0</x:v>
      </x:c>
      <x:c r="Y44" s="21" t="str">
        <x:v>eligible_with_study_context</x:v>
      </x:c>
      <x:c r="Z44" s="21" t="str">
        <x:v>complete</x:v>
      </x:c>
      <x:c r="AA44" s="21" t="str">
        <x:v>Source SCR-00015 supplies 13 evidence, 5 metric, and 0 governed tradeoff rows; use gate: eligible_with_study_context.</x:v>
      </x:c>
    </x:row>
    <x:row r="45" ht="42" customHeight="1">
      <x:c r="A45" s="21" t="str">
        <x:v>STC-SINGLETON-SCR-00036</x:v>
      </x:c>
      <x:c r="B45" s="21" t="str">
        <x:v>OISAC_SCR00036</x:v>
      </x:c>
      <x:c r="C45" s="21" t="str">
        <x:v>RPT-SCR-00036-01</x:v>
      </x:c>
      <x:c r="D45" s="21" t="str">
        <x:v>SCR-00036</x:v>
      </x:c>
      <x:c r="E45" s="21" t="str">
        <x:v>OISAC_SCR00036</x:v>
      </x:c>
      <x:c r="F45" s="21" t="str">
        <x:v>\cite{OISAC_SCR00036}</x:v>
      </x:c>
      <x:c r="G45" s="21" t="str">
        <x:v>primary_source</x:v>
      </x:c>
      <x:c r="H45" s="21" t="str">
        <x:v>none</x:v>
      </x:c>
      <x:c r="I45" s="21" t="str">
        <x:v>standalone_primary_report</x:v>
      </x:c>
      <x:c r="J45" s="21" t="str">
        <x:v>Millimeter-Wave Integrated Sensing and Communication System Based on a Photonics-Assisted Phased Array</x:v>
      </x:c>
      <x:c r="K45" s="21" t="str">
        <x:v>Guo X.; Li Z.; Zhou Z.; Deng L.; Yu Y.; Zhang X.</x:v>
      </x:c>
      <x:c r="L45" s="23" t="str">
        <x:v>2026</x:v>
      </x:c>
      <x:c r="M45" s="21" t="str">
        <x:v>Laser and Photonics Reviews</x:v>
      </x:c>
      <x:c r="N45" s="21" t="str">
        <x:v>10.1002/lpor.202502350</x:v>
      </x:c>
      <x:c r="O45" s="21" t="str">
        <x:v>https://doi.org/10.1002/lpor.202502350</x:v>
      </x:c>
      <x:c r="P45" s="21" t="str">
        <x:v>Article</x:v>
      </x:c>
      <x:c r="Q45" s="23" t="str">
        <x:v>8</x:v>
      </x:c>
      <x:c r="R45" s="23" t="str">
        <x:v>7</x:v>
      </x:c>
      <x:c r="S45" s="23" t="str">
        <x:v>1</x:v>
      </x:c>
      <x:c r="T45" s="23" t="str">
        <x:v>0</x:v>
      </x:c>
      <x:c r="U45" s="23" t="str">
        <x:v>0</x:v>
      </x:c>
      <x:c r="V45" s="23" t="str">
        <x:v>0</x:v>
      </x:c>
      <x:c r="W45" s="23" t="str">
        <x:v>0</x:v>
      </x:c>
      <x:c r="X45" s="23" t="str">
        <x:v>0</x:v>
      </x:c>
      <x:c r="Y45" s="21" t="str">
        <x:v>eligible_with_study_context</x:v>
      </x:c>
      <x:c r="Z45" s="21" t="str">
        <x:v>complete</x:v>
      </x:c>
      <x:c r="AA45" s="21" t="str">
        <x:v>Source SCR-00036 supplies 8 evidence, 7 metric, and 1 governed tradeoff rows; use gate: eligible_with_study_context.</x:v>
      </x:c>
    </x:row>
    <x:row r="46" ht="42" customHeight="1">
      <x:c r="A46" s="21" t="str">
        <x:v>STC-SINGLETON-SCR-00038</x:v>
      </x:c>
      <x:c r="B46" s="21" t="str">
        <x:v>OISAC_SCR00038</x:v>
      </x:c>
      <x:c r="C46" s="21" t="str">
        <x:v>RPT-SCR-00038-01</x:v>
      </x:c>
      <x:c r="D46" s="21" t="str">
        <x:v>SCR-00038</x:v>
      </x:c>
      <x:c r="E46" s="21" t="str">
        <x:v>OISAC_SCR00038</x:v>
      </x:c>
      <x:c r="F46" s="21" t="str">
        <x:v>\cite{OISAC_SCR00038}</x:v>
      </x:c>
      <x:c r="G46" s="21" t="str">
        <x:v>primary_source</x:v>
      </x:c>
      <x:c r="H46" s="21" t="str">
        <x:v>none</x:v>
      </x:c>
      <x:c r="I46" s="21" t="str">
        <x:v>standalone_primary_report</x:v>
      </x:c>
      <x:c r="J46" s="21" t="str">
        <x:v>Native and Reconfigurable Distributed Acoustic Sensing Integrated with Single-carrier 64QAM Transmission Signal</x:v>
      </x:c>
      <x:c r="K46" s="21" t="str">
        <x:v>Hu Z.; Zhao C.; Zhang M.; Chen J.; Tang M.</x:v>
      </x:c>
      <x:c r="L46" s="23" t="str">
        <x:v>2025</x:v>
      </x:c>
      <x:c r="M46" s="21" t="str">
        <x:v>Optical Fiber Communication Conference in Proceedings Optical Fiber Communication Conference, OFC 2025 and Optical Fiber Communication Conference (OFC) Postdeadline Papers 2025</x:v>
      </x:c>
      <x:c r="N46" s="21" t="str">
        <x:v>10.1364/ofc.2025.th2a.29</x:v>
      </x:c>
      <x:c r="O46" s="21" t="str">
        <x:v>https://doi.org/10.1364/ofc.2025.th2a.29</x:v>
      </x:c>
      <x:c r="P46" s="21" t="str">
        <x:v>Conference paper</x:v>
      </x:c>
      <x:c r="Q46" s="23" t="str">
        <x:v>6</x:v>
      </x:c>
      <x:c r="R46" s="23" t="str">
        <x:v>11</x:v>
      </x:c>
      <x:c r="S46" s="23" t="str">
        <x:v>1</x:v>
      </x:c>
      <x:c r="T46" s="23" t="str">
        <x:v>0</x:v>
      </x:c>
      <x:c r="U46" s="23" t="str">
        <x:v>0</x:v>
      </x:c>
      <x:c r="V46" s="23" t="str">
        <x:v>0</x:v>
      </x:c>
      <x:c r="W46" s="23" t="str">
        <x:v>0</x:v>
      </x:c>
      <x:c r="X46" s="23" t="str">
        <x:v>0</x:v>
      </x:c>
      <x:c r="Y46" s="21" t="str">
        <x:v>eligible_with_study_context</x:v>
      </x:c>
      <x:c r="Z46" s="21" t="str">
        <x:v>complete</x:v>
      </x:c>
      <x:c r="AA46" s="21" t="str">
        <x:v>Source SCR-00038 supplies 6 evidence, 11 metric, and 1 governed tradeoff rows; use gate: eligible_with_study_context.</x:v>
      </x:c>
    </x:row>
    <x:row r="47" ht="42" customHeight="1">
      <x:c r="A47" s="21" t="str">
        <x:v>STC-SINGLETON-SCR-00052</x:v>
      </x:c>
      <x:c r="B47" s="21" t="str">
        <x:v>OISAC_SCR00052</x:v>
      </x:c>
      <x:c r="C47" s="21" t="str">
        <x:v>RPT-SCR-00052-01</x:v>
      </x:c>
      <x:c r="D47" s="21" t="str">
        <x:v>SCR-00052</x:v>
      </x:c>
      <x:c r="E47" s="21" t="str">
        <x:v>OISAC_SCR00052</x:v>
      </x:c>
      <x:c r="F47" s="21" t="str">
        <x:v>\cite{OISAC_SCR00052}</x:v>
      </x:c>
      <x:c r="G47" s="21" t="str">
        <x:v>primary_source</x:v>
      </x:c>
      <x:c r="H47" s="21" t="str">
        <x:v>none</x:v>
      </x:c>
      <x:c r="I47" s="21" t="str">
        <x:v>standalone_primary_report</x:v>
      </x:c>
      <x:c r="J47" s="21" t="str">
        <x:v>Cc-Otdr Sequence Shaping Enabling Joint Co-Directional Sensing and Communication</x:v>
      </x:c>
      <x:c r="K47" s="21" t="str">
        <x:v>Allousch M.A.; Sandmann A.</x:v>
      </x:c>
      <x:c r="L47" s="23" t="str">
        <x:v>2025</x:v>
      </x:c>
      <x:c r="M47" s="21" t="str">
        <x:v>2025 IEEE Photonics Conference, IPC 2025 - Proceedings</x:v>
      </x:c>
      <x:c r="N47" s="21" t="str">
        <x:v>10.1109/ipc65510.2025.11282039</x:v>
      </x:c>
      <x:c r="O47" s="21" t="str">
        <x:v>https://doi.org/10.1109/ipc65510.2025.11282039</x:v>
      </x:c>
      <x:c r="P47" s="21" t="str">
        <x:v>Conference paper</x:v>
      </x:c>
      <x:c r="Q47" s="23" t="str">
        <x:v>6</x:v>
      </x:c>
      <x:c r="R47" s="23" t="str">
        <x:v>9</x:v>
      </x:c>
      <x:c r="S47" s="23" t="str">
        <x:v>2</x:v>
      </x:c>
      <x:c r="T47" s="23" t="str">
        <x:v>1</x:v>
      </x:c>
      <x:c r="U47" s="23" t="str">
        <x:v>0</x:v>
      </x:c>
      <x:c r="V47" s="23" t="str">
        <x:v>0</x:v>
      </x:c>
      <x:c r="W47" s="23" t="str">
        <x:v>0</x:v>
      </x:c>
      <x:c r="X47" s="23" t="str">
        <x:v>0</x:v>
      </x:c>
      <x:c r="Y47" s="21" t="str">
        <x:v>report_specific_guardrail</x:v>
      </x:c>
      <x:c r="Z47" s="21" t="str">
        <x:v>complete</x:v>
      </x:c>
      <x:c r="AA47" s="21" t="str">
        <x:v>Source SCR-00052 supplies 6 evidence, 9 metric, and 2 governed tradeoff rows; use gate: report_specific_guardrail.</x:v>
      </x:c>
    </x:row>
    <x:row r="48" ht="42" customHeight="1">
      <x:c r="A48" s="21" t="str">
        <x:v>STC-SINGLETON-SCR-00056</x:v>
      </x:c>
      <x:c r="B48" s="21" t="str">
        <x:v>OISAC_SCR00056</x:v>
      </x:c>
      <x:c r="C48" s="21" t="str">
        <x:v>RPT-SCR-00056-01</x:v>
      </x:c>
      <x:c r="D48" s="21" t="str">
        <x:v>SCR-00056</x:v>
      </x:c>
      <x:c r="E48" s="21" t="str">
        <x:v>OISAC_SCR00056</x:v>
      </x:c>
      <x:c r="F48" s="21" t="str">
        <x:v>\cite{OISAC_SCR00056}</x:v>
      </x:c>
      <x:c r="G48" s="21" t="str">
        <x:v>primary_source</x:v>
      </x:c>
      <x:c r="H48" s="21" t="str">
        <x:v>none</x:v>
      </x:c>
      <x:c r="I48" s="21" t="str">
        <x:v>standalone_primary_report</x:v>
      </x:c>
      <x:c r="J48" s="21" t="str">
        <x:v>Joint break-point localization sensing based on OFDR and non-disruptive communication fiber ISAC system</x:v>
      </x:c>
      <x:c r="K48" s="21" t="str">
        <x:v>Ma M.; Bi M.; Xu M.; Zhang Y.; Luo J.; Zhou X.; Zhang L.; Hu M.</x:v>
      </x:c>
      <x:c r="L48" s="23" t="str">
        <x:v>2025</x:v>
      </x:c>
      <x:c r="M48" s="21" t="str">
        <x:v>Optics and Laser Technology</x:v>
      </x:c>
      <x:c r="N48" s="21" t="str">
        <x:v>10.1016/j.optlastec.2025.113726</x:v>
      </x:c>
      <x:c r="O48" s="21" t="str">
        <x:v>https://doi.org/10.1016/j.optlastec.2025.113726</x:v>
      </x:c>
      <x:c r="P48" s="21" t="str">
        <x:v>Article</x:v>
      </x:c>
      <x:c r="Q48" s="23" t="str">
        <x:v>8</x:v>
      </x:c>
      <x:c r="R48" s="23" t="str">
        <x:v>15</x:v>
      </x:c>
      <x:c r="S48" s="23" t="str">
        <x:v>2</x:v>
      </x:c>
      <x:c r="T48" s="23" t="str">
        <x:v>2</x:v>
      </x:c>
      <x:c r="U48" s="23" t="str">
        <x:v>0</x:v>
      </x:c>
      <x:c r="V48" s="23" t="str">
        <x:v>0</x:v>
      </x:c>
      <x:c r="W48" s="23" t="str">
        <x:v>0</x:v>
      </x:c>
      <x:c r="X48" s="23" t="str">
        <x:v>0</x:v>
      </x:c>
      <x:c r="Y48" s="21" t="str">
        <x:v>report_specific_guardrail</x:v>
      </x:c>
      <x:c r="Z48" s="21" t="str">
        <x:v>complete</x:v>
      </x:c>
      <x:c r="AA48" s="21" t="str">
        <x:v>Source SCR-00056 supplies 8 evidence, 15 metric, and 2 governed tradeoff rows; use gate: report_specific_guardrail.</x:v>
      </x:c>
    </x:row>
    <x:row r="49" ht="42" customHeight="1">
      <x:c r="A49" s="21" t="str">
        <x:v>STC-SINGLETON-SCR-00057</x:v>
      </x:c>
      <x:c r="B49" s="21" t="str">
        <x:v>OISAC_SCR00057</x:v>
      </x:c>
      <x:c r="C49" s="21" t="str">
        <x:v>RPT-SCR-00057-01</x:v>
      </x:c>
      <x:c r="D49" s="21" t="str">
        <x:v>SCR-00057</x:v>
      </x:c>
      <x:c r="E49" s="21" t="str">
        <x:v>OISAC_SCR00057</x:v>
      </x:c>
      <x:c r="F49" s="21" t="str">
        <x:v>\cite{OISAC_SCR00057}</x:v>
      </x:c>
      <x:c r="G49" s="21" t="str">
        <x:v>primary_source</x:v>
      </x:c>
      <x:c r="H49" s="21" t="str">
        <x:v>none</x:v>
      </x:c>
      <x:c r="I49" s="21" t="str">
        <x:v>standalone_primary_report</x:v>
      </x:c>
      <x:c r="J49" s="21" t="str">
        <x:v>Pre-Compensation of LFM Sensing Probe via Integrated Sensing and Communication over Fiber System</x:v>
      </x:c>
      <x:c r="K49" s="21" t="str">
        <x:v>Maoqi L.; Jingchuan W.; Chen L.; Changyuan Y.; Chao L.</x:v>
      </x:c>
      <x:c r="L49" s="23" t="str">
        <x:v>2025</x:v>
      </x:c>
      <x:c r="M49" s="21" t="str">
        <x:v>Opto-Electronics and Communications Conference, OECC</x:v>
      </x:c>
      <x:c r="N49" s="21" t="str">
        <x:v>10.23919/oecc/psc62146.2025.11111272</x:v>
      </x:c>
      <x:c r="O49" s="21" t="str">
        <x:v>https://doi.org/10.23919/oecc/psc62146.2025.11111272</x:v>
      </x:c>
      <x:c r="P49" s="21" t="str">
        <x:v>Conference paper</x:v>
      </x:c>
      <x:c r="Q49" s="23" t="str">
        <x:v>7</x:v>
      </x:c>
      <x:c r="R49" s="23" t="str">
        <x:v>7</x:v>
      </x:c>
      <x:c r="S49" s="23" t="str">
        <x:v>1</x:v>
      </x:c>
      <x:c r="T49" s="23" t="str">
        <x:v>1</x:v>
      </x:c>
      <x:c r="U49" s="23" t="str">
        <x:v>0</x:v>
      </x:c>
      <x:c r="V49" s="23" t="str">
        <x:v>0</x:v>
      </x:c>
      <x:c r="W49" s="23" t="str">
        <x:v>0</x:v>
      </x:c>
      <x:c r="X49" s="23" t="str">
        <x:v>0</x:v>
      </x:c>
      <x:c r="Y49" s="21" t="str">
        <x:v>report_specific_guardrail</x:v>
      </x:c>
      <x:c r="Z49" s="21" t="str">
        <x:v>complete</x:v>
      </x:c>
      <x:c r="AA49" s="21" t="str">
        <x:v>Source SCR-00057 supplies 7 evidence, 7 metric, and 1 governed tradeoff rows; use gate: report_specific_guardrail.</x:v>
      </x:c>
    </x:row>
    <x:row r="50" ht="42" customHeight="1">
      <x:c r="A50" s="21" t="str">
        <x:v>STC-SINGLETON-SCR-00086</x:v>
      </x:c>
      <x:c r="B50" s="21" t="str">
        <x:v>OISAC_SCR00086</x:v>
      </x:c>
      <x:c r="C50" s="21" t="str">
        <x:v>RPT-SCR-00086-01</x:v>
      </x:c>
      <x:c r="D50" s="21" t="str">
        <x:v>SCR-00086</x:v>
      </x:c>
      <x:c r="E50" s="21" t="str">
        <x:v>OISAC_SCR00086</x:v>
      </x:c>
      <x:c r="F50" s="21" t="str">
        <x:v>\cite{OISAC_SCR00086}</x:v>
      </x:c>
      <x:c r="G50" s="21" t="str">
        <x:v>primary_source</x:v>
      </x:c>
      <x:c r="H50" s="21" t="str">
        <x:v>none</x:v>
      </x:c>
      <x:c r="I50" s="21" t="str">
        <x:v>standalone_primary_report</x:v>
      </x:c>
      <x:c r="J50" s="21" t="str">
        <x:v>Photonic THz Sensing-assisted Multipath Channel Estimation for ISAC</x:v>
      </x:c>
      <x:c r="K50" s="21" t="str">
        <x:v>Lyu Z.; Zhang L.; Lei M.; Deng Q.; Yang Z.; Fang X.; Ozolins O.; Liu G.; Zhu M.; Pang X.; Yu X.</x:v>
      </x:c>
      <x:c r="L50" s="23" t="str">
        <x:v>2025</x:v>
      </x:c>
      <x:c r="M50" s="21" t="str">
        <x:v>Optical Fiber Communication Conference in Proceedings Optical Fiber Communication Conference, OFC 2025 and Optical Fiber Communication Conference (OFC) Postdeadline Papers 2025</x:v>
      </x:c>
      <x:c r="N50" s="21" t="str">
        <x:v>10.1364/ofc.2025.th2a.23</x:v>
      </x:c>
      <x:c r="O50" s="21" t="str">
        <x:v>https://doi.org/10.1364/ofc.2025.th2a.23</x:v>
      </x:c>
      <x:c r="P50" s="21" t="str">
        <x:v>Conference paper</x:v>
      </x:c>
      <x:c r="Q50" s="23" t="str">
        <x:v>7</x:v>
      </x:c>
      <x:c r="R50" s="23" t="str">
        <x:v>8</x:v>
      </x:c>
      <x:c r="S50" s="23" t="str">
        <x:v>1</x:v>
      </x:c>
      <x:c r="T50" s="23" t="str">
        <x:v>0</x:v>
      </x:c>
      <x:c r="U50" s="23" t="str">
        <x:v>0</x:v>
      </x:c>
      <x:c r="V50" s="23" t="str">
        <x:v>0</x:v>
      </x:c>
      <x:c r="W50" s="23" t="str">
        <x:v>0</x:v>
      </x:c>
      <x:c r="X50" s="23" t="str">
        <x:v>0</x:v>
      </x:c>
      <x:c r="Y50" s="21" t="str">
        <x:v>eligible_with_study_context</x:v>
      </x:c>
      <x:c r="Z50" s="21" t="str">
        <x:v>complete</x:v>
      </x:c>
      <x:c r="AA50" s="21" t="str">
        <x:v>Source SCR-00086 supplies 7 evidence, 8 metric, and 1 governed tradeoff rows; use gate: eligible_with_study_context.</x:v>
      </x:c>
    </x:row>
    <x:row r="51" ht="42" customHeight="1">
      <x:c r="A51" s="21" t="str">
        <x:v>STC-SINGLETON-SCR-00091</x:v>
      </x:c>
      <x:c r="B51" s="21" t="str">
        <x:v>OISAC_SCR00091</x:v>
      </x:c>
      <x:c r="C51" s="21" t="str">
        <x:v>RPT-SCR-00091-01</x:v>
      </x:c>
      <x:c r="D51" s="21" t="str">
        <x:v>SCR-00091</x:v>
      </x:c>
      <x:c r="E51" s="21" t="str">
        <x:v>OISAC_SCR00091</x:v>
      </x:c>
      <x:c r="F51" s="21" t="str">
        <x:v>\cite{OISAC_SCR00091}</x:v>
      </x:c>
      <x:c r="G51" s="21" t="str">
        <x:v>primary_source</x:v>
      </x:c>
      <x:c r="H51" s="21" t="str">
        <x:v>none</x:v>
      </x:c>
      <x:c r="I51" s="21" t="str">
        <x:v>standalone_primary_report</x:v>
      </x:c>
      <x:c r="J51" s="21" t="str">
        <x:v>Communication and Sensing via Hermite-Gaussian Time-Domain Mode-Division-Multiple-Access</x:v>
      </x:c>
      <x:c r="K51" s="21" t="str">
        <x:v>Yu X.; He Z.; Tong S.; Meier J.; Schneider T.</x:v>
      </x:c>
      <x:c r="L51" s="23" t="str">
        <x:v>2025</x:v>
      </x:c>
      <x:c r="M51" s="21" t="str">
        <x:v>Asia Communications and Photonics Conference, ACP</x:v>
      </x:c>
      <x:c r="N51" s="21" t="str">
        <x:v>10.1109/acp66871.2025.11349797</x:v>
      </x:c>
      <x:c r="O51" s="21" t="str">
        <x:v>https://doi.org/10.1109/acp66871.2025.11349797</x:v>
      </x:c>
      <x:c r="P51" s="21" t="str">
        <x:v>Conference paper</x:v>
      </x:c>
      <x:c r="Q51" s="23" t="str">
        <x:v>9</x:v>
      </x:c>
      <x:c r="R51" s="23" t="str">
        <x:v>6</x:v>
      </x:c>
      <x:c r="S51" s="23" t="str">
        <x:v>0</x:v>
      </x:c>
      <x:c r="T51" s="23" t="str">
        <x:v>0</x:v>
      </x:c>
      <x:c r="U51" s="23" t="str">
        <x:v>0</x:v>
      </x:c>
      <x:c r="V51" s="23" t="str">
        <x:v>0</x:v>
      </x:c>
      <x:c r="W51" s="23" t="str">
        <x:v>0</x:v>
      </x:c>
      <x:c r="X51" s="23" t="str">
        <x:v>0</x:v>
      </x:c>
      <x:c r="Y51" s="21" t="str">
        <x:v>eligible_with_study_context</x:v>
      </x:c>
      <x:c r="Z51" s="21" t="str">
        <x:v>complete</x:v>
      </x:c>
      <x:c r="AA51" s="21" t="str">
        <x:v>Source SCR-00091 supplies 9 evidence, 6 metric, and 0 governed tradeoff rows; use gate: eligible_with_study_context.</x:v>
      </x:c>
    </x:row>
    <x:row r="52" ht="42" customHeight="1">
      <x:c r="A52" s="21" t="str">
        <x:v>STC-SINGLETON-SCR-00110</x:v>
      </x:c>
      <x:c r="B52" s="21" t="str">
        <x:v>OISAC_SCR00110</x:v>
      </x:c>
      <x:c r="C52" s="21" t="str">
        <x:v>RPT-SCR-00110-01</x:v>
      </x:c>
      <x:c r="D52" s="21" t="str">
        <x:v>SCR-00110</x:v>
      </x:c>
      <x:c r="E52" s="21" t="str">
        <x:v>OISAC_SCR00110</x:v>
      </x:c>
      <x:c r="F52" s="21" t="str">
        <x:v>\cite{OISAC_SCR00110}</x:v>
      </x:c>
      <x:c r="G52" s="21" t="str">
        <x:v>primary_source</x:v>
      </x:c>
      <x:c r="H52" s="21" t="str">
        <x:v>none</x:v>
      </x:c>
      <x:c r="I52" s="21" t="str">
        <x:v>standalone_primary_report</x:v>
      </x:c>
      <x:c r="J52" s="21" t="str">
        <x:v>Integrated Optical Camera Communication and Scene Sensing Based on Generative Adversarial Networks</x:v>
      </x:c>
      <x:c r="K52" s="21" t="str">
        <x:v>Liu W.; Deng Q.; Yang Z.; Xiao F.; Zhou B.; Geng X.</x:v>
      </x:c>
      <x:c r="L52" s="23" t="str">
        <x:v>2026</x:v>
      </x:c>
      <x:c r="M52" s="21" t="str">
        <x:v>IEEE Transactions on Mobile Computing</x:v>
      </x:c>
      <x:c r="N52" s="21" t="str">
        <x:v>10.1109/tmc.2025.3649981</x:v>
      </x:c>
      <x:c r="O52" s="21" t="str">
        <x:v>https://doi.org/10.1109/tmc.2025.3649981</x:v>
      </x:c>
      <x:c r="P52" s="21" t="str">
        <x:v>Article</x:v>
      </x:c>
      <x:c r="Q52" s="23" t="str">
        <x:v>12</x:v>
      </x:c>
      <x:c r="R52" s="23" t="str">
        <x:v>9</x:v>
      </x:c>
      <x:c r="S52" s="23" t="str">
        <x:v>2</x:v>
      </x:c>
      <x:c r="T52" s="23" t="str">
        <x:v>0</x:v>
      </x:c>
      <x:c r="U52" s="23" t="str">
        <x:v>0</x:v>
      </x:c>
      <x:c r="V52" s="23" t="str">
        <x:v>0</x:v>
      </x:c>
      <x:c r="W52" s="23" t="str">
        <x:v>0</x:v>
      </x:c>
      <x:c r="X52" s="23" t="str">
        <x:v>0</x:v>
      </x:c>
      <x:c r="Y52" s="21" t="str">
        <x:v>eligible_with_study_context</x:v>
      </x:c>
      <x:c r="Z52" s="21" t="str">
        <x:v>complete</x:v>
      </x:c>
      <x:c r="AA52" s="21" t="str">
        <x:v>Source SCR-00110 supplies 12 evidence, 9 metric, and 2 governed tradeoff rows; use gate: eligible_with_study_context.</x:v>
      </x:c>
    </x:row>
    <x:row r="53" ht="42" customHeight="1">
      <x:c r="A53" s="21" t="str">
        <x:v>STC-SINGLETON-SCR-00123</x:v>
      </x:c>
      <x:c r="B53" s="21" t="str">
        <x:v>OISAC_SCR00123</x:v>
      </x:c>
      <x:c r="C53" s="21" t="str">
        <x:v>RPT-SCR-00123-01</x:v>
      </x:c>
      <x:c r="D53" s="21" t="str">
        <x:v>SCR-00123</x:v>
      </x:c>
      <x:c r="E53" s="21" t="str">
        <x:v>OISAC_SCR00123</x:v>
      </x:c>
      <x:c r="F53" s="21" t="str">
        <x:v>\cite{OISAC_SCR00123}</x:v>
      </x:c>
      <x:c r="G53" s="21" t="str">
        <x:v>primary_source</x:v>
      </x:c>
      <x:c r="H53" s="21" t="str">
        <x:v>none</x:v>
      </x:c>
      <x:c r="I53" s="21" t="str">
        <x:v>standalone_primary_report</x:v>
      </x:c>
      <x:c r="J53" s="21" t="str">
        <x:v>Glass fiber-based integrated sensing and communication system for vehicular applications</x:v>
      </x:c>
      <x:c r="K53" s="21" t="str">
        <x:v>Zhang F.; Liu Z.; Cheng C.; Qian Z.; Zhang M.; Luo Z.; Tang M.</x:v>
      </x:c>
      <x:c r="L53" s="23" t="str">
        <x:v>2026</x:v>
      </x:c>
      <x:c r="M53" s="21" t="str">
        <x:v>Advanced Photonics Nexus</x:v>
      </x:c>
      <x:c r="N53" s="21" t="str">
        <x:v>10.1117/1.apn.5.1.016011</x:v>
      </x:c>
      <x:c r="O53" s="21" t="str">
        <x:v>https://doi.org/10.1117/1.apn.5.1.016011</x:v>
      </x:c>
      <x:c r="P53" s="21" t="str">
        <x:v>Article</x:v>
      </x:c>
      <x:c r="Q53" s="23" t="str">
        <x:v>11</x:v>
      </x:c>
      <x:c r="R53" s="23" t="str">
        <x:v>9</x:v>
      </x:c>
      <x:c r="S53" s="23" t="str">
        <x:v>0</x:v>
      </x:c>
      <x:c r="T53" s="23" t="str">
        <x:v>0</x:v>
      </x:c>
      <x:c r="U53" s="23" t="str">
        <x:v>0</x:v>
      </x:c>
      <x:c r="V53" s="23" t="str">
        <x:v>0</x:v>
      </x:c>
      <x:c r="W53" s="23" t="str">
        <x:v>0</x:v>
      </x:c>
      <x:c r="X53" s="23" t="str">
        <x:v>0</x:v>
      </x:c>
      <x:c r="Y53" s="21" t="str">
        <x:v>eligible_with_study_context</x:v>
      </x:c>
      <x:c r="Z53" s="21" t="str">
        <x:v>complete</x:v>
      </x:c>
      <x:c r="AA53" s="21" t="str">
        <x:v>Source SCR-00123 supplies 11 evidence, 9 metric, and 0 governed tradeoff rows; use gate: eligible_with_study_context.</x:v>
      </x:c>
    </x:row>
    <x:row r="54" ht="42" customHeight="1">
      <x:c r="A54" s="21" t="str">
        <x:v>STC-SINGLETON-SCR-00151</x:v>
      </x:c>
      <x:c r="B54" s="21" t="str">
        <x:v>OISAC_SCR00151</x:v>
      </x:c>
      <x:c r="C54" s="21" t="str">
        <x:v>RPT-SCR-00151-01</x:v>
      </x:c>
      <x:c r="D54" s="21" t="str">
        <x:v>SCR-00151</x:v>
      </x:c>
      <x:c r="E54" s="21" t="str">
        <x:v>OISAC_SCR00151</x:v>
      </x:c>
      <x:c r="F54" s="21" t="str">
        <x:v>\cite{OISAC_SCR00151}</x:v>
      </x:c>
      <x:c r="G54" s="21" t="str">
        <x:v>primary_source</x:v>
      </x:c>
      <x:c r="H54" s="21" t="str">
        <x:v>none</x:v>
      </x:c>
      <x:c r="I54" s="21" t="str">
        <x:v>standalone_primary_report</x:v>
      </x:c>
      <x:c r="J54" s="21" t="str">
        <x:v>Integrated Communication and Enhanced Forward Phase-Based Sensing Based on Frequency-Domain Pilot Tones in DSCM Systems Using 100 kHz ECLs</x:v>
      </x:c>
      <x:c r="K54" s="21" t="str">
        <x:v>Yang B.; Tang J.; Cheng C.; Fan L.; Yang P.; Wang S.; Zhao T.; Liang J.; Gao S.; Wei J.; Yao Y.; Yang Y.</x:v>
      </x:c>
      <x:c r="L54" s="23" t="str">
        <x:v>2025</x:v>
      </x:c>
      <x:c r="M54" s="21" t="str">
        <x:v>Journal of Lightwave Technology</x:v>
      </x:c>
      <x:c r="N54" s="21" t="str">
        <x:v>10.1109/jlt.2024.3510371</x:v>
      </x:c>
      <x:c r="O54" s="21" t="str">
        <x:v>https://doi.org/10.1109/jlt.2024.3510371</x:v>
      </x:c>
      <x:c r="P54" s="21" t="str">
        <x:v>Article</x:v>
      </x:c>
      <x:c r="Q54" s="23" t="str">
        <x:v>10</x:v>
      </x:c>
      <x:c r="R54" s="23" t="str">
        <x:v>8</x:v>
      </x:c>
      <x:c r="S54" s="23" t="str">
        <x:v>1</x:v>
      </x:c>
      <x:c r="T54" s="23" t="str">
        <x:v>0</x:v>
      </x:c>
      <x:c r="U54" s="23" t="str">
        <x:v>0</x:v>
      </x:c>
      <x:c r="V54" s="23" t="str">
        <x:v>0</x:v>
      </x:c>
      <x:c r="W54" s="23" t="str">
        <x:v>0</x:v>
      </x:c>
      <x:c r="X54" s="23" t="str">
        <x:v>0</x:v>
      </x:c>
      <x:c r="Y54" s="21" t="str">
        <x:v>eligible_with_study_context</x:v>
      </x:c>
      <x:c r="Z54" s="21" t="str">
        <x:v>complete</x:v>
      </x:c>
      <x:c r="AA54" s="21" t="str">
        <x:v>Source SCR-00151 supplies 10 evidence, 8 metric, and 1 governed tradeoff rows; use gate: eligible_with_study_context.</x:v>
      </x:c>
    </x:row>
    <x:row r="55" ht="42" customHeight="1">
      <x:c r="A55" s="21" t="str">
        <x:v>STC-SINGLETON-SCR-00160</x:v>
      </x:c>
      <x:c r="B55" s="21" t="str">
        <x:v>OISAC_SCR00160</x:v>
      </x:c>
      <x:c r="C55" s="21" t="str">
        <x:v>RPT-SCR-00160-01</x:v>
      </x:c>
      <x:c r="D55" s="21" t="str">
        <x:v>SCR-00160</x:v>
      </x:c>
      <x:c r="E55" s="21" t="str">
        <x:v>OISAC_SCR00160</x:v>
      </x:c>
      <x:c r="F55" s="21" t="str">
        <x:v>\cite{OISAC_SCR00160}</x:v>
      </x:c>
      <x:c r="G55" s="21" t="str">
        <x:v>primary_source</x:v>
      </x:c>
      <x:c r="H55" s="21" t="str">
        <x:v>none</x:v>
      </x:c>
      <x:c r="I55" s="21" t="str">
        <x:v>standalone_primary_report</x:v>
      </x:c>
      <x:c r="J55" s="21" t="str">
        <x:v>Photonic Generation of Joint Amplitude-Frequency Modulated Waveform for THz Integrated Sensing and Communication</x:v>
      </x:c>
      <x:c r="K55" s="21" t="str">
        <x:v>Che M.; Li B.; Tang H.; Ye S.; Kamiura Y.; Kato K.</x:v>
      </x:c>
      <x:c r="L55" s="23" t="str">
        <x:v>2025</x:v>
      </x:c>
      <x:c r="M55" s="21" t="str">
        <x:v>Microwave and Optical Technology Letters</x:v>
      </x:c>
      <x:c r="N55" s="21" t="str">
        <x:v>10.1002/mop.70216</x:v>
      </x:c>
      <x:c r="O55" s="21" t="str">
        <x:v>https://doi.org/10.1002/mop.70216</x:v>
      </x:c>
      <x:c r="P55" s="21" t="str">
        <x:v>Article</x:v>
      </x:c>
      <x:c r="Q55" s="23" t="str">
        <x:v>9</x:v>
      </x:c>
      <x:c r="R55" s="23" t="str">
        <x:v>6</x:v>
      </x:c>
      <x:c r="S55" s="23" t="str">
        <x:v>1</x:v>
      </x:c>
      <x:c r="T55" s="23" t="str">
        <x:v>0</x:v>
      </x:c>
      <x:c r="U55" s="23" t="str">
        <x:v>0</x:v>
      </x:c>
      <x:c r="V55" s="23" t="str">
        <x:v>0</x:v>
      </x:c>
      <x:c r="W55" s="23" t="str">
        <x:v>0</x:v>
      </x:c>
      <x:c r="X55" s="23" t="str">
        <x:v>0</x:v>
      </x:c>
      <x:c r="Y55" s="21" t="str">
        <x:v>eligible_with_study_context</x:v>
      </x:c>
      <x:c r="Z55" s="21" t="str">
        <x:v>complete</x:v>
      </x:c>
      <x:c r="AA55" s="21" t="str">
        <x:v>Source SCR-00160 supplies 9 evidence, 6 metric, and 1 governed tradeoff rows; use gate: eligible_with_study_context.</x:v>
      </x:c>
    </x:row>
    <x:row r="56" ht="42" customHeight="1">
      <x:c r="A56" s="21" t="str">
        <x:v>STC-SINGLETON-SCR-00177</x:v>
      </x:c>
      <x:c r="B56" s="21" t="str">
        <x:v>OISAC_SCR00177</x:v>
      </x:c>
      <x:c r="C56" s="21" t="str">
        <x:v>RPT-SCR-00177-01</x:v>
      </x:c>
      <x:c r="D56" s="21" t="str">
        <x:v>SCR-00177</x:v>
      </x:c>
      <x:c r="E56" s="21" t="str">
        <x:v>OISAC_SCR00177</x:v>
      </x:c>
      <x:c r="F56" s="21" t="str">
        <x:v>\cite{OISAC_SCR00177}</x:v>
      </x:c>
      <x:c r="G56" s="21" t="str">
        <x:v>primary_source</x:v>
      </x:c>
      <x:c r="H56" s="21" t="str">
        <x:v>none</x:v>
      </x:c>
      <x:c r="I56" s="21" t="str">
        <x:v>standalone_primary_report</x:v>
      </x:c>
      <x:c r="J56" s="21" t="str">
        <x:v>Integrated photonic ultrawideband real-time spectrum sensing for 6G wireless networks</x:v>
      </x:c>
      <x:c r="K56" s="21" t="str">
        <x:v>Tao Y.; Feng H.; Fang Y.; Xie X.; Zeng Y.; Wu Y.; Ge T.; Zhang Y.; Chen Z.; Tao Z.; Xu J.; Shu H.; Wang X.; Yu X.; Wang C.</x:v>
      </x:c>
      <x:c r="L56" s="23" t="str">
        <x:v>2026</x:v>
      </x:c>
      <x:c r="M56" s="21" t="str">
        <x:v>Nature Communications</x:v>
      </x:c>
      <x:c r="N56" s="21" t="str">
        <x:v>10.1038/s41467-026-70389-0</x:v>
      </x:c>
      <x:c r="O56" s="21" t="str">
        <x:v>https://doi.org/10.1038/s41467-026-70389-0</x:v>
      </x:c>
      <x:c r="P56" s="21" t="str">
        <x:v>Article</x:v>
      </x:c>
      <x:c r="Q56" s="23" t="str">
        <x:v>14</x:v>
      </x:c>
      <x:c r="R56" s="23" t="str">
        <x:v>10</x:v>
      </x:c>
      <x:c r="S56" s="23" t="str">
        <x:v>2</x:v>
      </x:c>
      <x:c r="T56" s="23" t="str">
        <x:v>0</x:v>
      </x:c>
      <x:c r="U56" s="23" t="str">
        <x:v>0</x:v>
      </x:c>
      <x:c r="V56" s="23" t="str">
        <x:v>0</x:v>
      </x:c>
      <x:c r="W56" s="23" t="str">
        <x:v>0</x:v>
      </x:c>
      <x:c r="X56" s="23" t="str">
        <x:v>0</x:v>
      </x:c>
      <x:c r="Y56" s="21" t="str">
        <x:v>eligible_with_study_context</x:v>
      </x:c>
      <x:c r="Z56" s="21" t="str">
        <x:v>complete</x:v>
      </x:c>
      <x:c r="AA56" s="21" t="str">
        <x:v>Source SCR-00177 supplies 14 evidence, 10 metric, and 2 governed tradeoff rows; use gate: eligible_with_study_context.</x:v>
      </x:c>
    </x:row>
    <x:row r="57" ht="42" customHeight="1">
      <x:c r="A57" s="21" t="str">
        <x:v>STC-SINGLETON-SCR-00185</x:v>
      </x:c>
      <x:c r="B57" s="21" t="str">
        <x:v>OISAC_SCR00185</x:v>
      </x:c>
      <x:c r="C57" s="21" t="str">
        <x:v>RPT-SCR-00185-01</x:v>
      </x:c>
      <x:c r="D57" s="21" t="str">
        <x:v>SCR-00185</x:v>
      </x:c>
      <x:c r="E57" s="21" t="str">
        <x:v>OISAC_SCR00185</x:v>
      </x:c>
      <x:c r="F57" s="21" t="str">
        <x:v>\cite{OISAC_SCR00185}</x:v>
      </x:c>
      <x:c r="G57" s="21" t="str">
        <x:v>primary_source</x:v>
      </x:c>
      <x:c r="H57" s="21" t="str">
        <x:v>none</x:v>
      </x:c>
      <x:c r="I57" s="21" t="str">
        <x:v>standalone_primary_report</x:v>
      </x:c>
      <x:c r="J57" s="21" t="str">
        <x:v>Integrated Terahertz FMCW Radar and FSK Communication Enabled by High-Speed Wavelength Tunable Lasers</x:v>
      </x:c>
      <x:c r="K57" s="21" t="str">
        <x:v>Kaide R.; Ye S.; Wang Y.; Mikami Y.; Ueda Y.; Kato K.</x:v>
      </x:c>
      <x:c r="L57" s="23" t="str">
        <x:v>2025</x:v>
      </x:c>
      <x:c r="M57" s="21" t="str">
        <x:v>Photonics</x:v>
      </x:c>
      <x:c r="N57" s="21" t="str">
        <x:v>10.3390/photonics12100977</x:v>
      </x:c>
      <x:c r="O57" s="21" t="str">
        <x:v>https://doi.org/10.3390/photonics12100977</x:v>
      </x:c>
      <x:c r="P57" s="21" t="str">
        <x:v>Article</x:v>
      </x:c>
      <x:c r="Q57" s="23" t="str">
        <x:v>12</x:v>
      </x:c>
      <x:c r="R57" s="23" t="str">
        <x:v>5</x:v>
      </x:c>
      <x:c r="S57" s="23" t="str">
        <x:v>0</x:v>
      </x:c>
      <x:c r="T57" s="23" t="str">
        <x:v>0</x:v>
      </x:c>
      <x:c r="U57" s="23" t="str">
        <x:v>0</x:v>
      </x:c>
      <x:c r="V57" s="23" t="str">
        <x:v>0</x:v>
      </x:c>
      <x:c r="W57" s="23" t="str">
        <x:v>0</x:v>
      </x:c>
      <x:c r="X57" s="23" t="str">
        <x:v>0</x:v>
      </x:c>
      <x:c r="Y57" s="21" t="str">
        <x:v>eligible_with_study_context</x:v>
      </x:c>
      <x:c r="Z57" s="21" t="str">
        <x:v>complete</x:v>
      </x:c>
      <x:c r="AA57" s="21" t="str">
        <x:v>Source SCR-00185 supplies 12 evidence, 5 metric, and 0 governed tradeoff rows; use gate: eligible_with_study_context.</x:v>
      </x:c>
    </x:row>
    <x:row r="58" ht="42" customHeight="1">
      <x:c r="A58" s="21" t="str">
        <x:v>STC-SINGLETON-SCR-00189</x:v>
      </x:c>
      <x:c r="B58" s="21" t="str">
        <x:v>OISAC_SCR00189</x:v>
      </x:c>
      <x:c r="C58" s="21" t="str">
        <x:v>RPT-SCR-00189-01</x:v>
      </x:c>
      <x:c r="D58" s="21" t="str">
        <x:v>SCR-00189</x:v>
      </x:c>
      <x:c r="E58" s="21" t="str">
        <x:v>OISAC_SCR00189</x:v>
      </x:c>
      <x:c r="F58" s="21" t="str">
        <x:v>\cite{OISAC_SCR00189}</x:v>
      </x:c>
      <x:c r="G58" s="21" t="str">
        <x:v>primary_source</x:v>
      </x:c>
      <x:c r="H58" s="21" t="str">
        <x:v>none</x:v>
      </x:c>
      <x:c r="I58" s="21" t="str">
        <x:v>standalone_primary_report</x:v>
      </x:c>
      <x:c r="J58" s="21" t="str">
        <x:v>Sensing µm-scale vibrations in the Hz range within a THz communication system</x:v>
      </x:c>
      <x:c r="K58" s="21" t="str">
        <x:v>Matsuda K.; Xu C.; Hess S.; Kulmer L.; Blatter T.; Fukui T.; Leuthold J.</x:v>
      </x:c>
      <x:c r="L58" s="23" t="str">
        <x:v>2026</x:v>
      </x:c>
      <x:c r="M58" s="21" t="str">
        <x:v>Optics Express</x:v>
      </x:c>
      <x:c r="N58" s="21" t="str">
        <x:v>10.1364/oe.585124</x:v>
      </x:c>
      <x:c r="O58" s="21" t="str">
        <x:v>https://doi.org/10.1364/oe.585124</x:v>
      </x:c>
      <x:c r="P58" s="21" t="str">
        <x:v>Article</x:v>
      </x:c>
      <x:c r="Q58" s="23" t="str">
        <x:v>13</x:v>
      </x:c>
      <x:c r="R58" s="23" t="str">
        <x:v>5</x:v>
      </x:c>
      <x:c r="S58" s="23" t="str">
        <x:v>1</x:v>
      </x:c>
      <x:c r="T58" s="23" t="str">
        <x:v>0</x:v>
      </x:c>
      <x:c r="U58" s="23" t="str">
        <x:v>0</x:v>
      </x:c>
      <x:c r="V58" s="23" t="str">
        <x:v>0</x:v>
      </x:c>
      <x:c r="W58" s="23" t="str">
        <x:v>0</x:v>
      </x:c>
      <x:c r="X58" s="23" t="str">
        <x:v>0</x:v>
      </x:c>
      <x:c r="Y58" s="21" t="str">
        <x:v>eligible_with_study_context</x:v>
      </x:c>
      <x:c r="Z58" s="21" t="str">
        <x:v>complete</x:v>
      </x:c>
      <x:c r="AA58" s="21" t="str">
        <x:v>Source SCR-00189 supplies 13 evidence, 5 metric, and 1 governed tradeoff rows; use gate: eligible_with_study_context.</x:v>
      </x:c>
    </x:row>
    <x:row r="59" ht="42" customHeight="1">
      <x:c r="A59" s="21" t="str">
        <x:v>STC-SINGLETON-SCR-00196</x:v>
      </x:c>
      <x:c r="B59" s="21" t="str">
        <x:v>OISAC_SCR00196</x:v>
      </x:c>
      <x:c r="C59" s="21" t="str">
        <x:v>RPT-SCR-00196-01</x:v>
      </x:c>
      <x:c r="D59" s="21" t="str">
        <x:v>SCR-00196</x:v>
      </x:c>
      <x:c r="E59" s="21" t="str">
        <x:v>OISAC_SCR00196</x:v>
      </x:c>
      <x:c r="F59" s="21" t="str">
        <x:v>\cite{OISAC_SCR00196}</x:v>
      </x:c>
      <x:c r="G59" s="21" t="str">
        <x:v>primary_source</x:v>
      </x:c>
      <x:c r="H59" s="21" t="str">
        <x:v>none</x:v>
      </x:c>
      <x:c r="I59" s="21" t="str">
        <x:v>standalone_primary_report</x:v>
      </x:c>
      <x:c r="J59" s="21" t="str">
        <x:v>Adaptive visible light integrated sensing and communication for cable-free virtual reality</x:v>
      </x:c>
      <x:c r="K59" s="21" t="str">
        <x:v>Li Z.; Shi J.; Shen C.; Zhang Y.; Zhang J.; Chi N.</x:v>
      </x:c>
      <x:c r="L59" s="23" t="str">
        <x:v>2025</x:v>
      </x:c>
      <x:c r="M59" s="21" t="str">
        <x:v>Photonics Research</x:v>
      </x:c>
      <x:c r="N59" s="21" t="str">
        <x:v>10.1364/prj.561888</x:v>
      </x:c>
      <x:c r="O59" s="21" t="str">
        <x:v>https://doi.org/10.1364/prj.561888</x:v>
      </x:c>
      <x:c r="P59" s="21" t="str">
        <x:v>Article</x:v>
      </x:c>
      <x:c r="Q59" s="23" t="str">
        <x:v>61</x:v>
      </x:c>
      <x:c r="R59" s="23" t="str">
        <x:v>27</x:v>
      </x:c>
      <x:c r="S59" s="23" t="str">
        <x:v>3</x:v>
      </x:c>
      <x:c r="T59" s="23" t="str">
        <x:v>1</x:v>
      </x:c>
      <x:c r="U59" s="23" t="str">
        <x:v>1</x:v>
      </x:c>
      <x:c r="V59" s="23" t="str">
        <x:v>1</x:v>
      </x:c>
      <x:c r="W59" s="23" t="str">
        <x:v>0</x:v>
      </x:c>
      <x:c r="X59" s="23" t="str">
        <x:v>0</x:v>
      </x:c>
      <x:c r="Y59" s="21" t="str">
        <x:v>report_specific_guardrail</x:v>
      </x:c>
      <x:c r="Z59" s="21" t="str">
        <x:v>complete</x:v>
      </x:c>
      <x:c r="AA59" s="21" t="str">
        <x:v>Source SCR-00196 supplies 61 evidence, 27 metric, and 3 governed tradeoff rows; use gate: report_specific_guardrail.</x:v>
      </x:c>
    </x:row>
    <x:row r="60" ht="42" customHeight="1">
      <x:c r="A60" s="21" t="str">
        <x:v>STC-SINGLETON-SCR-00210</x:v>
      </x:c>
      <x:c r="B60" s="21" t="str">
        <x:v>OISAC_SCR00210</x:v>
      </x:c>
      <x:c r="C60" s="21" t="str">
        <x:v>RPT-SCR-00210-01</x:v>
      </x:c>
      <x:c r="D60" s="21" t="str">
        <x:v>SCR-00210</x:v>
      </x:c>
      <x:c r="E60" s="21" t="str">
        <x:v>OISAC_SCR00210</x:v>
      </x:c>
      <x:c r="F60" s="21" t="str">
        <x:v>\cite{OISAC_SCR00210}</x:v>
      </x:c>
      <x:c r="G60" s="21" t="str">
        <x:v>primary_source</x:v>
      </x:c>
      <x:c r="H60" s="21" t="str">
        <x:v>none</x:v>
      </x:c>
      <x:c r="I60" s="21" t="str">
        <x:v>standalone_primary_report</x:v>
      </x:c>
      <x:c r="J60" s="21" t="str">
        <x:v>Software-Defined Radio Experimental Validation of an OTFS-Based ISAC for Velocity Estimation in an ARoF Setup</x:v>
      </x:c>
      <x:c r="K60" s="21" t="str">
        <x:v>Tihomorskis N.; Migla S.; Aghda O.A.; Rubuls K.; Krumins N.; Novikova O.; Braunfelds J.; Spolitis S.; Ozolins O.; Aboltins A.</x:v>
      </x:c>
      <x:c r="L60" s="23" t="str">
        <x:v>2026</x:v>
      </x:c>
      <x:c r="M60" s="21" t="str">
        <x:v>Technologies</x:v>
      </x:c>
      <x:c r="N60" s="21" t="str">
        <x:v>10.3390/technologies14050262</x:v>
      </x:c>
      <x:c r="O60" s="21" t="str">
        <x:v>https://doi.org/10.3390/technologies14050262</x:v>
      </x:c>
      <x:c r="P60" s="21" t="str">
        <x:v>Article</x:v>
      </x:c>
      <x:c r="Q60" s="23" t="str">
        <x:v>13</x:v>
      </x:c>
      <x:c r="R60" s="23" t="str">
        <x:v>7</x:v>
      </x:c>
      <x:c r="S60" s="23" t="str">
        <x:v>1</x:v>
      </x:c>
      <x:c r="T60" s="23" t="str">
        <x:v>0</x:v>
      </x:c>
      <x:c r="U60" s="23" t="str">
        <x:v>0</x:v>
      </x:c>
      <x:c r="V60" s="23" t="str">
        <x:v>0</x:v>
      </x:c>
      <x:c r="W60" s="23" t="str">
        <x:v>0</x:v>
      </x:c>
      <x:c r="X60" s="23" t="str">
        <x:v>0</x:v>
      </x:c>
      <x:c r="Y60" s="21" t="str">
        <x:v>eligible_with_study_context</x:v>
      </x:c>
      <x:c r="Z60" s="21" t="str">
        <x:v>complete</x:v>
      </x:c>
      <x:c r="AA60" s="21" t="str">
        <x:v>Source SCR-00210 supplies 13 evidence, 7 metric, and 1 governed tradeoff rows; use gate: eligible_with_study_context.</x:v>
      </x:c>
    </x:row>
    <x:row r="61" ht="42" customHeight="1">
      <x:c r="A61" s="21" t="str">
        <x:v>STC-SINGLETON-SCR-00218</x:v>
      </x:c>
      <x:c r="B61" s="21" t="str">
        <x:v>OISAC_SCR00218</x:v>
      </x:c>
      <x:c r="C61" s="21" t="str">
        <x:v>RPT-SCR-00218-01</x:v>
      </x:c>
      <x:c r="D61" s="21" t="str">
        <x:v>SCR-00218</x:v>
      </x:c>
      <x:c r="E61" s="21" t="str">
        <x:v>OISAC_SCR00218</x:v>
      </x:c>
      <x:c r="F61" s="21" t="str">
        <x:v>\cite{OISAC_SCR00218}</x:v>
      </x:c>
      <x:c r="G61" s="21" t="str">
        <x:v>primary_source</x:v>
      </x:c>
      <x:c r="H61" s="21" t="str">
        <x:v>none</x:v>
      </x:c>
      <x:c r="I61" s="21" t="str">
        <x:v>standalone_primary_report</x:v>
      </x:c>
      <x:c r="J61" s="21" t="str">
        <x:v>Parallel Path Effect-Free Remote Monitoring and Sensing in Live XGS-PON Using Legacy Optical Time Domain Reflectometry</x:v>
      </x:c>
      <x:c r="K61" s="21" t="str">
        <x:v>Urban P.J.; Miśkiewicz E.M.; Karczewicz D.; Kogut W.; Kopczyński J.</x:v>
      </x:c>
      <x:c r="L61" s="23" t="str">
        <x:v>2025</x:v>
      </x:c>
      <x:c r="M61" s="21" t="str">
        <x:v>Journal of Lightwave Technology</x:v>
      </x:c>
      <x:c r="N61" s="21" t="str">
        <x:v>10.1109/jlt.2025.3563162</x:v>
      </x:c>
      <x:c r="O61" s="21" t="str">
        <x:v>https://doi.org/10.1109/jlt.2025.3563162</x:v>
      </x:c>
      <x:c r="P61" s="21" t="str">
        <x:v>Article</x:v>
      </x:c>
      <x:c r="Q61" s="23" t="str">
        <x:v>13</x:v>
      </x:c>
      <x:c r="R61" s="23" t="str">
        <x:v>6</x:v>
      </x:c>
      <x:c r="S61" s="23" t="str">
        <x:v>1</x:v>
      </x:c>
      <x:c r="T61" s="23" t="str">
        <x:v>0</x:v>
      </x:c>
      <x:c r="U61" s="23" t="str">
        <x:v>0</x:v>
      </x:c>
      <x:c r="V61" s="23" t="str">
        <x:v>0</x:v>
      </x:c>
      <x:c r="W61" s="23" t="str">
        <x:v>0</x:v>
      </x:c>
      <x:c r="X61" s="23" t="str">
        <x:v>0</x:v>
      </x:c>
      <x:c r="Y61" s="21" t="str">
        <x:v>eligible_with_study_context</x:v>
      </x:c>
      <x:c r="Z61" s="21" t="str">
        <x:v>complete</x:v>
      </x:c>
      <x:c r="AA61" s="21" t="str">
        <x:v>Source SCR-00218 supplies 13 evidence, 6 metric, and 1 governed tradeoff rows; use gate: eligible_with_study_context.</x:v>
      </x:c>
    </x:row>
    <x:row r="62" ht="42" customHeight="1">
      <x:c r="A62" s="21" t="str">
        <x:v>STC-SINGLETON-SCR-00233</x:v>
      </x:c>
      <x:c r="B62" s="21" t="str">
        <x:v>OISAC_SCR00233</x:v>
      </x:c>
      <x:c r="C62" s="21" t="str">
        <x:v>RPT-SCR-00233-01</x:v>
      </x:c>
      <x:c r="D62" s="21" t="str">
        <x:v>SCR-00233</x:v>
      </x:c>
      <x:c r="E62" s="21" t="str">
        <x:v>OISAC_SCR00233</x:v>
      </x:c>
      <x:c r="F62" s="21" t="str">
        <x:v>\cite{OISAC_SCR00233}</x:v>
      </x:c>
      <x:c r="G62" s="21" t="str">
        <x:v>primary_source</x:v>
      </x:c>
      <x:c r="H62" s="21" t="str">
        <x:v>none</x:v>
      </x:c>
      <x:c r="I62" s="21" t="str">
        <x:v>standalone_primary_report</x:v>
      </x:c>
      <x:c r="J62" s="21" t="str">
        <x:v>Bi-LSTM-Transformer hybrid network for V2V optical wireless ISAC systems</x:v>
      </x:c>
      <x:c r="K62" s="21" t="str">
        <x:v>Zhou G.; Cao M.; Yang Q.; Zhang Y.; Zhang X.; Wang H.</x:v>
      </x:c>
      <x:c r="L62" s="23" t="str">
        <x:v>2026</x:v>
      </x:c>
      <x:c r="M62" s="21" t="str">
        <x:v>ICT Express</x:v>
      </x:c>
      <x:c r="N62" s="21" t="str">
        <x:v>10.1016/j.icte.2026.04.001</x:v>
      </x:c>
      <x:c r="O62" s="21" t="str">
        <x:v>https://doi.org/10.1016/j.icte.2026.04.001</x:v>
      </x:c>
      <x:c r="P62" s="21" t="str">
        <x:v>Article</x:v>
      </x:c>
      <x:c r="Q62" s="23" t="str">
        <x:v>10</x:v>
      </x:c>
      <x:c r="R62" s="23" t="str">
        <x:v>16</x:v>
      </x:c>
      <x:c r="S62" s="23" t="str">
        <x:v>1</x:v>
      </x:c>
      <x:c r="T62" s="23" t="str">
        <x:v>0</x:v>
      </x:c>
      <x:c r="U62" s="23" t="str">
        <x:v>11</x:v>
      </x:c>
      <x:c r="V62" s="23" t="str">
        <x:v>0</x:v>
      </x:c>
      <x:c r="W62" s="23" t="str">
        <x:v>10</x:v>
      </x:c>
      <x:c r="X62" s="23" t="str">
        <x:v>0</x:v>
      </x:c>
      <x:c r="Y62" s="21" t="str">
        <x:v>eligible_with_study_context</x:v>
      </x:c>
      <x:c r="Z62" s="21" t="str">
        <x:v>complete</x:v>
      </x:c>
      <x:c r="AA62" s="21" t="str">
        <x:v>Source SCR-00233 supplies 10 evidence, 16 metric, and 1 governed tradeoff rows; use gate: eligible_with_study_context.</x:v>
      </x:c>
    </x:row>
    <x:row r="63" ht="42" customHeight="1">
      <x:c r="A63" s="21" t="str">
        <x:v>STC-SINGLETON-SCR-00238</x:v>
      </x:c>
      <x:c r="B63" s="21" t="str">
        <x:v>OISAC_SCR00238</x:v>
      </x:c>
      <x:c r="C63" s="21" t="str">
        <x:v>RPT-SCR-00238-01</x:v>
      </x:c>
      <x:c r="D63" s="21" t="str">
        <x:v>SCR-00238</x:v>
      </x:c>
      <x:c r="E63" s="21" t="str">
        <x:v>OISAC_SCR00238</x:v>
      </x:c>
      <x:c r="F63" s="21" t="str">
        <x:v>\cite{OISAC_SCR00238}</x:v>
      </x:c>
      <x:c r="G63" s="21" t="str">
        <x:v>primary_source</x:v>
      </x:c>
      <x:c r="H63" s="21" t="str">
        <x:v>none</x:v>
      </x:c>
      <x:c r="I63" s="21" t="str">
        <x:v>standalone_primary_report</x:v>
      </x:c>
      <x:c r="J63" s="21" t="str">
        <x:v>Multi-service integrated sensing and communication system for industrial internet-of-things</x:v>
      </x:c>
      <x:c r="K63" s="21" t="str">
        <x:v>Shen J.; Fan J.; Li M.; Fei Y.; Fu T.; Gao M.</x:v>
      </x:c>
      <x:c r="L63" s="23" t="str">
        <x:v>2026</x:v>
      </x:c>
      <x:c r="M63" s="21" t="str">
        <x:v>Optics and Lasers in Engineering</x:v>
      </x:c>
      <x:c r="N63" s="21" t="str">
        <x:v>10.1016/j.optlaseng.2025.109470</x:v>
      </x:c>
      <x:c r="O63" s="21" t="str">
        <x:v>https://doi.org/10.1016/j.optlaseng.2025.109470</x:v>
      </x:c>
      <x:c r="P63" s="21" t="str">
        <x:v>Article</x:v>
      </x:c>
      <x:c r="Q63" s="23" t="str">
        <x:v>10</x:v>
      </x:c>
      <x:c r="R63" s="23" t="str">
        <x:v>14</x:v>
      </x:c>
      <x:c r="S63" s="23" t="str">
        <x:v>2</x:v>
      </x:c>
      <x:c r="T63" s="23" t="str">
        <x:v>3</x:v>
      </x:c>
      <x:c r="U63" s="23" t="str">
        <x:v>12</x:v>
      </x:c>
      <x:c r="V63" s="23" t="str">
        <x:v>0</x:v>
      </x:c>
      <x:c r="W63" s="23" t="str">
        <x:v>10</x:v>
      </x:c>
      <x:c r="X63" s="23" t="str">
        <x:v>0</x:v>
      </x:c>
      <x:c r="Y63" s="21" t="str">
        <x:v>report_specific_guardrail</x:v>
      </x:c>
      <x:c r="Z63" s="21" t="str">
        <x:v>complete</x:v>
      </x:c>
      <x:c r="AA63" s="21" t="str">
        <x:v>Source SCR-00238 supplies 10 evidence, 14 metric, and 2 governed tradeoff rows; use gate: report_specific_guardrail.</x:v>
      </x:c>
    </x:row>
    <x:row r="64" ht="42" customHeight="1">
      <x:c r="A64" s="21" t="str">
        <x:v>STC-SINGLETON-SCR-00256</x:v>
      </x:c>
      <x:c r="B64" s="21" t="str">
        <x:v>OISAC_SCR00256</x:v>
      </x:c>
      <x:c r="C64" s="21" t="str">
        <x:v>RPT-SCR-00256-01</x:v>
      </x:c>
      <x:c r="D64" s="21" t="str">
        <x:v>SCR-00256</x:v>
      </x:c>
      <x:c r="E64" s="21" t="str">
        <x:v>OISAC_SCR00256</x:v>
      </x:c>
      <x:c r="F64" s="21" t="str">
        <x:v>\cite{OISAC_SCR00256}</x:v>
      </x:c>
      <x:c r="G64" s="21" t="str">
        <x:v>primary_source</x:v>
      </x:c>
      <x:c r="H64" s="21" t="str">
        <x:v>none</x:v>
      </x:c>
      <x:c r="I64" s="21" t="str">
        <x:v>standalone_primary_report</x:v>
      </x:c>
      <x:c r="J64" s="21" t="str">
        <x:v>OCDM Integrated LiDAR and Communication System for UAVs</x:v>
      </x:c>
      <x:c r="K64" s="21" t="str">
        <x:v>Shi X.; Cao M.; Chen C.; Zhang S.; Fan P.; Wang H.</x:v>
      </x:c>
      <x:c r="L64" s="23" t="str">
        <x:v>2025</x:v>
      </x:c>
      <x:c r="M64" s="21" t="str">
        <x:v>2025 13th International Conference on Information and Communication Networks, ICICN 2025</x:v>
      </x:c>
      <x:c r="N64" s="21" t="str">
        <x:v>10.1109/icicn67355.2025.11430473</x:v>
      </x:c>
      <x:c r="O64" s="21" t="str">
        <x:v>https://doi.org/10.1109/icicn67355.2025.11430473</x:v>
      </x:c>
      <x:c r="P64" s="21" t="str">
        <x:v>Conference paper</x:v>
      </x:c>
      <x:c r="Q64" s="23" t="str">
        <x:v>8</x:v>
      </x:c>
      <x:c r="R64" s="23" t="str">
        <x:v>4</x:v>
      </x:c>
      <x:c r="S64" s="23" t="str">
        <x:v>0</x:v>
      </x:c>
      <x:c r="T64" s="23" t="str">
        <x:v>0</x:v>
      </x:c>
      <x:c r="U64" s="23" t="str">
        <x:v>8</x:v>
      </x:c>
      <x:c r="V64" s="23" t="str">
        <x:v>0</x:v>
      </x:c>
      <x:c r="W64" s="23" t="str">
        <x:v>8</x:v>
      </x:c>
      <x:c r="X64" s="23" t="str">
        <x:v>0</x:v>
      </x:c>
      <x:c r="Y64" s="21" t="str">
        <x:v>eligible_with_study_context</x:v>
      </x:c>
      <x:c r="Z64" s="21" t="str">
        <x:v>complete</x:v>
      </x:c>
      <x:c r="AA64" s="21" t="str">
        <x:v>Source SCR-00256 supplies 8 evidence, 4 metric, and 0 governed tradeoff rows; use gate: eligible_with_study_context.</x:v>
      </x:c>
    </x:row>
    <x:row r="65" ht="42" customHeight="1">
      <x:c r="A65" s="21" t="str">
        <x:v>STC-SINGLETON-SCR-00268</x:v>
      </x:c>
      <x:c r="B65" s="21" t="str">
        <x:v>OISAC_SCR00268</x:v>
      </x:c>
      <x:c r="C65" s="21" t="str">
        <x:v>RPT-SCR-00268-01</x:v>
      </x:c>
      <x:c r="D65" s="21" t="str">
        <x:v>SCR-00268</x:v>
      </x:c>
      <x:c r="E65" s="21" t="str">
        <x:v>OISAC_SCR00268</x:v>
      </x:c>
      <x:c r="F65" s="21" t="str">
        <x:v>\cite{OISAC_SCR00268}</x:v>
      </x:c>
      <x:c r="G65" s="21" t="str">
        <x:v>primary_source</x:v>
      </x:c>
      <x:c r="H65" s="21" t="str">
        <x:v>none</x:v>
      </x:c>
      <x:c r="I65" s="21" t="str">
        <x:v>standalone_primary_report</x:v>
      </x:c>
      <x:c r="J65" s="21" t="str">
        <x:v>Full dimensional control of structured microwaves based on microcombs</x:v>
      </x:c>
      <x:c r="K65" s="21" t="str">
        <x:v>Song X.; Zhang X.; Gao X.; Wang Z.; Cai J.; Tu Z.; Dong J.; Li S.; Zhou Z.; Huang J.; Ni B.; Xu T.; Wu J.; Zheng Z.; Chen Z.; Li Y.; Yang Q.-F.; Huang S.; Li W.; Chang L.</x:v>
      </x:c>
      <x:c r="L65" s="23" t="str">
        <x:v>2026</x:v>
      </x:c>
      <x:c r="M65" s="21" t="str">
        <x:v>Nature Photonics</x:v>
      </x:c>
      <x:c r="N65" s="21" t="str">
        <x:v>10.1038/s41566-026-01843-0</x:v>
      </x:c>
      <x:c r="O65" s="21" t="str">
        <x:v>https://doi.org/10.1038/s41566-026-01843-0</x:v>
      </x:c>
      <x:c r="P65" s="21" t="str">
        <x:v>Article</x:v>
      </x:c>
      <x:c r="Q65" s="23" t="str">
        <x:v>14</x:v>
      </x:c>
      <x:c r="R65" s="23" t="str">
        <x:v>14</x:v>
      </x:c>
      <x:c r="S65" s="23" t="str">
        <x:v>0</x:v>
      </x:c>
      <x:c r="T65" s="23" t="str">
        <x:v>0</x:v>
      </x:c>
      <x:c r="U65" s="23" t="str">
        <x:v>0</x:v>
      </x:c>
      <x:c r="V65" s="23" t="str">
        <x:v>0</x:v>
      </x:c>
      <x:c r="W65" s="23" t="str">
        <x:v>0</x:v>
      </x:c>
      <x:c r="X65" s="23" t="str">
        <x:v>0</x:v>
      </x:c>
      <x:c r="Y65" s="21" t="str">
        <x:v>eligible_with_study_context</x:v>
      </x:c>
      <x:c r="Z65" s="21" t="str">
        <x:v>complete</x:v>
      </x:c>
      <x:c r="AA65" s="21" t="str">
        <x:v>Source SCR-00268 supplies 14 evidence, 14 metric, and 0 governed tradeoff rows; use gate: eligible_with_study_context.</x:v>
      </x:c>
    </x:row>
    <x:row r="66" ht="42" customHeight="1">
      <x:c r="A66" s="21" t="str">
        <x:v>STC-SINGLETON-SCR-00273</x:v>
      </x:c>
      <x:c r="B66" s="21" t="str">
        <x:v>OISAC_SCR00273</x:v>
      </x:c>
      <x:c r="C66" s="21" t="str">
        <x:v>RPT-SCR-00273-01</x:v>
      </x:c>
      <x:c r="D66" s="21" t="str">
        <x:v>SCR-00273</x:v>
      </x:c>
      <x:c r="E66" s="21" t="str">
        <x:v>OISAC_SCR00273</x:v>
      </x:c>
      <x:c r="F66" s="21" t="str">
        <x:v>\cite{OISAC_SCR00273}</x:v>
      </x:c>
      <x:c r="G66" s="21" t="str">
        <x:v>primary_source</x:v>
      </x:c>
      <x:c r="H66" s="21" t="str">
        <x:v>none</x:v>
      </x:c>
      <x:c r="I66" s="21" t="str">
        <x:v>standalone_primary_report</x:v>
      </x:c>
      <x:c r="J66" s="21" t="str">
        <x:v>Optical Camera-Based Integrated Sensing and Communication for V2X Applications: Model and Optimization</x:v>
      </x:c>
      <x:c r="K66" s="21" t="str">
        <x:v>Dong K.; Cao W.; Wang M.</x:v>
      </x:c>
      <x:c r="L66" s="23" t="str">
        <x:v>2025</x:v>
      </x:c>
      <x:c r="M66" s="21" t="str">
        <x:v>Sensors</x:v>
      </x:c>
      <x:c r="N66" s="21" t="str">
        <x:v>10.3390/s25227061</x:v>
      </x:c>
      <x:c r="O66" s="21" t="str">
        <x:v>https://doi.org/10.3390/s25227061</x:v>
      </x:c>
      <x:c r="P66" s="21" t="str">
        <x:v>Article</x:v>
      </x:c>
      <x:c r="Q66" s="23" t="str">
        <x:v>14</x:v>
      </x:c>
      <x:c r="R66" s="23" t="str">
        <x:v>6</x:v>
      </x:c>
      <x:c r="S66" s="23" t="str">
        <x:v>2</x:v>
      </x:c>
      <x:c r="T66" s="23" t="str">
        <x:v>0</x:v>
      </x:c>
      <x:c r="U66" s="23" t="str">
        <x:v>0</x:v>
      </x:c>
      <x:c r="V66" s="23" t="str">
        <x:v>0</x:v>
      </x:c>
      <x:c r="W66" s="23" t="str">
        <x:v>0</x:v>
      </x:c>
      <x:c r="X66" s="23" t="str">
        <x:v>0</x:v>
      </x:c>
      <x:c r="Y66" s="21" t="str">
        <x:v>eligible_with_study_context</x:v>
      </x:c>
      <x:c r="Z66" s="21" t="str">
        <x:v>complete</x:v>
      </x:c>
      <x:c r="AA66" s="21" t="str">
        <x:v>Source SCR-00273 supplies 14 evidence, 6 metric, and 2 governed tradeoff rows; use gate: eligible_with_study_context.</x:v>
      </x:c>
    </x:row>
    <x:row r="67" ht="42" customHeight="1">
      <x:c r="A67" s="21" t="str">
        <x:v>STC-SINGLETON-SCR-00274</x:v>
      </x:c>
      <x:c r="B67" s="21" t="str">
        <x:v>OISAC_SCR00274</x:v>
      </x:c>
      <x:c r="C67" s="21" t="str">
        <x:v>RPT-SCR-00274-01</x:v>
      </x:c>
      <x:c r="D67" s="21" t="str">
        <x:v>SCR-00274</x:v>
      </x:c>
      <x:c r="E67" s="21" t="str">
        <x:v>OISAC_SCR00274</x:v>
      </x:c>
      <x:c r="F67" s="21" t="str">
        <x:v>\cite{OISAC_SCR00274}</x:v>
      </x:c>
      <x:c r="G67" s="21" t="str">
        <x:v>primary_source</x:v>
      </x:c>
      <x:c r="H67" s="21" t="str">
        <x:v>none</x:v>
      </x:c>
      <x:c r="I67" s="21" t="str">
        <x:v>standalone_primary_report</x:v>
      </x:c>
      <x:c r="J67" s="21" t="str">
        <x:v>A Unified OFDM-ISAC Signal Generation Architecture in W-Band via Photonics-Aided Frequency Multiplication and Phase Noise Mitigation</x:v>
      </x:c>
      <x:c r="K67" s="21" t="str">
        <x:v>Deng K.; Liu J.; Lu X.; Chen J.; Zhou Y.; Li W.</x:v>
      </x:c>
      <x:c r="L67" s="23" t="str">
        <x:v>2025</x:v>
      </x:c>
      <x:c r="M67" s="21" t="str">
        <x:v>Photonics</x:v>
      </x:c>
      <x:c r="N67" s="21" t="str">
        <x:v>10.3390/photonics12111052</x:v>
      </x:c>
      <x:c r="O67" s="21" t="str">
        <x:v>https://doi.org/10.3390/photonics12111052</x:v>
      </x:c>
      <x:c r="P67" s="21" t="str">
        <x:v>Article</x:v>
      </x:c>
      <x:c r="Q67" s="23" t="str">
        <x:v>14</x:v>
      </x:c>
      <x:c r="R67" s="23" t="str">
        <x:v>9</x:v>
      </x:c>
      <x:c r="S67" s="23" t="str">
        <x:v>1</x:v>
      </x:c>
      <x:c r="T67" s="23" t="str">
        <x:v>0</x:v>
      </x:c>
      <x:c r="U67" s="23" t="str">
        <x:v>0</x:v>
      </x:c>
      <x:c r="V67" s="23" t="str">
        <x:v>0</x:v>
      </x:c>
      <x:c r="W67" s="23" t="str">
        <x:v>0</x:v>
      </x:c>
      <x:c r="X67" s="23" t="str">
        <x:v>0</x:v>
      </x:c>
      <x:c r="Y67" s="21" t="str">
        <x:v>eligible_with_study_context</x:v>
      </x:c>
      <x:c r="Z67" s="21" t="str">
        <x:v>complete</x:v>
      </x:c>
      <x:c r="AA67" s="21" t="str">
        <x:v>Source SCR-00274 supplies 14 evidence, 9 metric, and 1 governed tradeoff rows; use gate: eligible_with_study_context.</x:v>
      </x:c>
    </x:row>
    <x:row r="68" ht="42" customHeight="1">
      <x:c r="A68" s="21" t="str">
        <x:v>STC-SINGLETON-SCR-00277</x:v>
      </x:c>
      <x:c r="B68" s="21" t="str">
        <x:v>OISAC_SCR00277</x:v>
      </x:c>
      <x:c r="C68" s="21" t="str">
        <x:v>RPT-SCR-00277-01</x:v>
      </x:c>
      <x:c r="D68" s="21" t="str">
        <x:v>SCR-00277</x:v>
      </x:c>
      <x:c r="E68" s="21" t="str">
        <x:v>OISAC_SCR00277</x:v>
      </x:c>
      <x:c r="F68" s="21" t="str">
        <x:v>\cite{OISAC_SCR00277}</x:v>
      </x:c>
      <x:c r="G68" s="21" t="str">
        <x:v>primary_source</x:v>
      </x:c>
      <x:c r="H68" s="21" t="str">
        <x:v>none</x:v>
      </x:c>
      <x:c r="I68" s="21" t="str">
        <x:v>standalone_primary_report</x:v>
      </x:c>
      <x:c r="J68" s="21" t="str">
        <x:v>Towards last-mile connectivity in 6G-IoT: An integrated MIMO-FSO communication system and FBG sensors under atmospheric attenuations, strain and temperature effects</x:v>
      </x:c>
      <x:c r="K68" s="21" t="str">
        <x:v>Arunachalam R.; Singh R.; Vinoth Kumar M.</x:v>
      </x:c>
      <x:c r="L68" s="23" t="str">
        <x:v>2025</x:v>
      </x:c>
      <x:c r="M68" s="21" t="str">
        <x:v>Engineering Science and Technology, an International Journal</x:v>
      </x:c>
      <x:c r="N68" s="21" t="str">
        <x:v>10.1016/j.jestch.2025.101958</x:v>
      </x:c>
      <x:c r="O68" s="21" t="str">
        <x:v>https://doi.org/10.1016/j.jestch.2025.101958</x:v>
      </x:c>
      <x:c r="P68" s="21" t="str">
        <x:v>Article</x:v>
      </x:c>
      <x:c r="Q68" s="23" t="str">
        <x:v>15</x:v>
      </x:c>
      <x:c r="R68" s="23" t="str">
        <x:v>8</x:v>
      </x:c>
      <x:c r="S68" s="23" t="str">
        <x:v>0</x:v>
      </x:c>
      <x:c r="T68" s="23" t="str">
        <x:v>0</x:v>
      </x:c>
      <x:c r="U68" s="23" t="str">
        <x:v>0</x:v>
      </x:c>
      <x:c r="V68" s="23" t="str">
        <x:v>0</x:v>
      </x:c>
      <x:c r="W68" s="23" t="str">
        <x:v>0</x:v>
      </x:c>
      <x:c r="X68" s="23" t="str">
        <x:v>0</x:v>
      </x:c>
      <x:c r="Y68" s="21" t="str">
        <x:v>eligible_with_study_context</x:v>
      </x:c>
      <x:c r="Z68" s="21" t="str">
        <x:v>complete</x:v>
      </x:c>
      <x:c r="AA68" s="21" t="str">
        <x:v>Source SCR-00277 supplies 15 evidence, 8 metric, and 0 governed tradeoff rows; use gate: eligible_with_study_context.</x:v>
      </x:c>
    </x:row>
    <x:row r="69" ht="42" customHeight="1">
      <x:c r="A69" s="21" t="str">
        <x:v>STC-SINGLETON-SCR-00278</x:v>
      </x:c>
      <x:c r="B69" s="21" t="str">
        <x:v>OISAC_SCR00278</x:v>
      </x:c>
      <x:c r="C69" s="21" t="str">
        <x:v>RPT-SCR-00278-01</x:v>
      </x:c>
      <x:c r="D69" s="21" t="str">
        <x:v>SCR-00278</x:v>
      </x:c>
      <x:c r="E69" s="21" t="str">
        <x:v>OISAC_SCR00278</x:v>
      </x:c>
      <x:c r="F69" s="21" t="str">
        <x:v>\cite{OISAC_SCR00278}</x:v>
      </x:c>
      <x:c r="G69" s="21" t="str">
        <x:v>primary_source</x:v>
      </x:c>
      <x:c r="H69" s="21" t="str">
        <x:v>none</x:v>
      </x:c>
      <x:c r="I69" s="21" t="str">
        <x:v>standalone_primary_report</x:v>
      </x:c>
      <x:c r="J69" s="21" t="str">
        <x:v>Demonstration of High Sensitivity Detection and High Precision Localization of Vibrations in Bidirectional Coherent Transmission Systems Enabled by Carrier Laser Phase Noise Retrieval</x:v>
      </x:c>
      <x:c r="K69" s="21" t="str">
        <x:v>Hu Y.; Zhang K.; Mousa-Pasandi M.E.; Gutierrez-Castrejon R.; O'sullivan M.; Kong F.; Buscaino B.; Zhang J.; Bernal S.; St-Arnault C.; Plant D.V.</x:v>
      </x:c>
      <x:c r="L69" s="23" t="str">
        <x:v>2025</x:v>
      </x:c>
      <x:c r="M69" s="21" t="str">
        <x:v>Journal of Lightwave Technology</x:v>
      </x:c>
      <x:c r="N69" s="21" t="str">
        <x:v>10.1109/jlt.2025.3593142</x:v>
      </x:c>
      <x:c r="O69" s="21" t="str">
        <x:v>https://doi.org/10.1109/jlt.2025.3593142</x:v>
      </x:c>
      <x:c r="P69" s="21" t="str">
        <x:v>Article</x:v>
      </x:c>
      <x:c r="Q69" s="23" t="str">
        <x:v>14</x:v>
      </x:c>
      <x:c r="R69" s="23" t="str">
        <x:v>8</x:v>
      </x:c>
      <x:c r="S69" s="23" t="str">
        <x:v>2</x:v>
      </x:c>
      <x:c r="T69" s="23" t="str">
        <x:v>0</x:v>
      </x:c>
      <x:c r="U69" s="23" t="str">
        <x:v>0</x:v>
      </x:c>
      <x:c r="V69" s="23" t="str">
        <x:v>0</x:v>
      </x:c>
      <x:c r="W69" s="23" t="str">
        <x:v>0</x:v>
      </x:c>
      <x:c r="X69" s="23" t="str">
        <x:v>0</x:v>
      </x:c>
      <x:c r="Y69" s="21" t="str">
        <x:v>eligible_with_study_context</x:v>
      </x:c>
      <x:c r="Z69" s="21" t="str">
        <x:v>complete</x:v>
      </x:c>
      <x:c r="AA69" s="21" t="str">
        <x:v>Source SCR-00278 supplies 14 evidence, 8 metric, and 2 governed tradeoff rows; use gate: eligible_with_study_context.</x:v>
      </x:c>
    </x:row>
    <x:row r="70" ht="42" customHeight="1">
      <x:c r="A70" s="21" t="str">
        <x:v>STC-SINGLETON-SCR-00294</x:v>
      </x:c>
      <x:c r="B70" s="21" t="str">
        <x:v>OISAC_SCR00294</x:v>
      </x:c>
      <x:c r="C70" s="21" t="str">
        <x:v>RPT-SCR-00294-01</x:v>
      </x:c>
      <x:c r="D70" s="21" t="str">
        <x:v>SCR-00294</x:v>
      </x:c>
      <x:c r="E70" s="21" t="str">
        <x:v>OISAC_SCR00294</x:v>
      </x:c>
      <x:c r="F70" s="21" t="str">
        <x:v>\cite{OISAC_SCR00294}</x:v>
      </x:c>
      <x:c r="G70" s="21" t="str">
        <x:v>primary_source</x:v>
      </x:c>
      <x:c r="H70" s="21" t="str">
        <x:v>none</x:v>
      </x:c>
      <x:c r="I70" s="21" t="str">
        <x:v>standalone_primary_report</x:v>
      </x:c>
      <x:c r="J70" s="21" t="str">
        <x:v>Optoelectronic integrated sensing and communication system based on InGaN/GaN MQW for wireless detection of air pressure</x:v>
      </x:c>
      <x:c r="K70" s="21" t="str">
        <x:v>Jiang Z.; Chu Z.; Huang M.; Lu M.; Shi F.; Wang Y.; Yan J.</x:v>
      </x:c>
      <x:c r="L70" s="23" t="str">
        <x:v>2025</x:v>
      </x:c>
      <x:c r="M70" s="21" t="str">
        <x:v>Sensors and Actuators A: Physical</x:v>
      </x:c>
      <x:c r="N70" s="21" t="str">
        <x:v>10.1016/j.sna.2025.117086</x:v>
      </x:c>
      <x:c r="O70" s="21" t="str">
        <x:v>https://doi.org/10.1016/j.sna.2025.117086</x:v>
      </x:c>
      <x:c r="P70" s="21" t="str">
        <x:v>Article</x:v>
      </x:c>
      <x:c r="Q70" s="23" t="str">
        <x:v>13</x:v>
      </x:c>
      <x:c r="R70" s="23" t="str">
        <x:v>9</x:v>
      </x:c>
      <x:c r="S70" s="23" t="str">
        <x:v>0</x:v>
      </x:c>
      <x:c r="T70" s="23" t="str">
        <x:v>0</x:v>
      </x:c>
      <x:c r="U70" s="23" t="str">
        <x:v>0</x:v>
      </x:c>
      <x:c r="V70" s="23" t="str">
        <x:v>0</x:v>
      </x:c>
      <x:c r="W70" s="23" t="str">
        <x:v>0</x:v>
      </x:c>
      <x:c r="X70" s="23" t="str">
        <x:v>0</x:v>
      </x:c>
      <x:c r="Y70" s="21" t="str">
        <x:v>eligible_with_study_context</x:v>
      </x:c>
      <x:c r="Z70" s="21" t="str">
        <x:v>complete</x:v>
      </x:c>
      <x:c r="AA70" s="21" t="str">
        <x:v>Source SCR-00294 supplies 13 evidence, 9 metric, and 0 governed tradeoff rows; use gate: eligible_with_study_context.</x:v>
      </x:c>
    </x:row>
    <x:row r="71" ht="42" customHeight="1">
      <x:c r="A71" s="21" t="str">
        <x:v>STC-SINGLETON-SCR-00312</x:v>
      </x:c>
      <x:c r="B71" s="21" t="str">
        <x:v>OISAC_SCR00312</x:v>
      </x:c>
      <x:c r="C71" s="21" t="str">
        <x:v>RPT-SCR-00312-01</x:v>
      </x:c>
      <x:c r="D71" s="21" t="str">
        <x:v>SCR-00312</x:v>
      </x:c>
      <x:c r="E71" s="21" t="str">
        <x:v>OISAC_SCR00312</x:v>
      </x:c>
      <x:c r="F71" s="21" t="str">
        <x:v>\cite{OISAC_SCR00312}</x:v>
      </x:c>
      <x:c r="G71" s="21" t="str">
        <x:v>primary_source</x:v>
      </x:c>
      <x:c r="H71" s="21" t="str">
        <x:v>none</x:v>
      </x:c>
      <x:c r="I71" s="21" t="str">
        <x:v>standalone_primary_report</x:v>
      </x:c>
      <x:c r="J71" s="21" t="str">
        <x:v>Photonics-Aided THz ISAC System Based on A Spectral Overlapping Multi-Carrier 16QAM-LFM Waveform</x:v>
      </x:c>
      <x:c r="K71" s="21" t="str">
        <x:v>Lei M.; Zhou Q.; Zhang J.; Li H.; Hua B.; Cai Y.; Zhang J.; Chen X.; Ding J.; Liu H.; Zhang Z.; Zhu S.; Liu B.; Yu J.; Zhu M.</x:v>
      </x:c>
      <x:c r="L71" s="23" t="str">
        <x:v>2025</x:v>
      </x:c>
      <x:c r="M71" s="21" t="str">
        <x:v>2025 Optical Fiber Communications Conference and Exhibition, OFC 2025 - Proceedings</x:v>
      </x:c>
      <x:c r="N71" s="21" t="str">
        <x:v>10.1364/ofc.2025.th2a.27</x:v>
      </x:c>
      <x:c r="O71" s="21" t="str">
        <x:v>https://doi.org/10.1364/ofc.2025.th2a.27</x:v>
      </x:c>
      <x:c r="P71" s="21" t="str">
        <x:v>Conference paper</x:v>
      </x:c>
      <x:c r="Q71" s="23" t="str">
        <x:v>10</x:v>
      </x:c>
      <x:c r="R71" s="23" t="str">
        <x:v>8</x:v>
      </x:c>
      <x:c r="S71" s="23" t="str">
        <x:v>1</x:v>
      </x:c>
      <x:c r="T71" s="23" t="str">
        <x:v>0</x:v>
      </x:c>
      <x:c r="U71" s="23" t="str">
        <x:v>0</x:v>
      </x:c>
      <x:c r="V71" s="23" t="str">
        <x:v>0</x:v>
      </x:c>
      <x:c r="W71" s="23" t="str">
        <x:v>0</x:v>
      </x:c>
      <x:c r="X71" s="23" t="str">
        <x:v>0</x:v>
      </x:c>
      <x:c r="Y71" s="21" t="str">
        <x:v>eligible_with_study_context</x:v>
      </x:c>
      <x:c r="Z71" s="21" t="str">
        <x:v>complete</x:v>
      </x:c>
      <x:c r="AA71" s="21" t="str">
        <x:v>Source SCR-00312 supplies 10 evidence, 8 metric, and 1 governed tradeoff rows; use gate: eligible_with_study_context.</x:v>
      </x:c>
    </x:row>
    <x:row r="72" ht="42" customHeight="1">
      <x:c r="A72" s="21" t="str">
        <x:v>STC-SINGLETON-SCR-00344</x:v>
      </x:c>
      <x:c r="B72" s="21" t="str">
        <x:v>OISAC_SCR00344</x:v>
      </x:c>
      <x:c r="C72" s="21" t="str">
        <x:v>RPT-SCR-00344-01</x:v>
      </x:c>
      <x:c r="D72" s="21" t="str">
        <x:v>SCR-00344</x:v>
      </x:c>
      <x:c r="E72" s="21" t="str">
        <x:v>OISAC_SCR00344</x:v>
      </x:c>
      <x:c r="F72" s="21" t="str">
        <x:v>\cite{OISAC_SCR00344}</x:v>
      </x:c>
      <x:c r="G72" s="21" t="str">
        <x:v>primary_source</x:v>
      </x:c>
      <x:c r="H72" s="21" t="str">
        <x:v>none</x:v>
      </x:c>
      <x:c r="I72" s="21" t="str">
        <x:v>standalone_primary_report</x:v>
      </x:c>
      <x:c r="J72" s="21" t="str">
        <x:v>Co-wavelength-channel integration of ultra-low-frequency distributed acoustic sensing and high-capacity communication</x:v>
      </x:c>
      <x:c r="K72" s="21" t="str">
        <x:v>Gu L.; Liu C.; Xiang M.; Xu P.; Yang H.; Sun W.; Yang J.; Fu S.; Wang Y.; Qin Y.</x:v>
      </x:c>
      <x:c r="L72" s="23" t="str">
        <x:v>2025</x:v>
      </x:c>
      <x:c r="M72" s="21" t="str">
        <x:v>Photonics Research</x:v>
      </x:c>
      <x:c r="N72" s="21" t="str">
        <x:v>10.1364/prj.551958</x:v>
      </x:c>
      <x:c r="O72" s="21" t="str">
        <x:v>https://doi.org/10.1364/prj.551958</x:v>
      </x:c>
      <x:c r="P72" s="21" t="str">
        <x:v>Article</x:v>
      </x:c>
      <x:c r="Q72" s="23" t="str">
        <x:v>15</x:v>
      </x:c>
      <x:c r="R72" s="23" t="str">
        <x:v>12</x:v>
      </x:c>
      <x:c r="S72" s="23" t="str">
        <x:v>3</x:v>
      </x:c>
      <x:c r="T72" s="23" t="str">
        <x:v>0</x:v>
      </x:c>
      <x:c r="U72" s="23" t="str">
        <x:v>0</x:v>
      </x:c>
      <x:c r="V72" s="23" t="str">
        <x:v>0</x:v>
      </x:c>
      <x:c r="W72" s="23" t="str">
        <x:v>0</x:v>
      </x:c>
      <x:c r="X72" s="23" t="str">
        <x:v>0</x:v>
      </x:c>
      <x:c r="Y72" s="21" t="str">
        <x:v>eligible_with_study_context</x:v>
      </x:c>
      <x:c r="Z72" s="21" t="str">
        <x:v>complete</x:v>
      </x:c>
      <x:c r="AA72" s="21" t="str">
        <x:v>Source SCR-00344 supplies 15 evidence, 12 metric, and 3 governed tradeoff rows; use gate: eligible_with_study_context.</x:v>
      </x:c>
    </x:row>
    <x:row r="73" ht="42" customHeight="1">
      <x:c r="A73" s="21" t="str">
        <x:v>STC-SINGLETON-SCR-00356</x:v>
      </x:c>
      <x:c r="B73" s="21" t="str">
        <x:v>OISAC_SCR00356</x:v>
      </x:c>
      <x:c r="C73" s="21" t="str">
        <x:v>RPT-SCR-00356-01</x:v>
      </x:c>
      <x:c r="D73" s="21" t="str">
        <x:v>SCR-00356</x:v>
      </x:c>
      <x:c r="E73" s="21" t="str">
        <x:v>OISAC_SCR00356</x:v>
      </x:c>
      <x:c r="F73" s="21" t="str">
        <x:v>\cite{OISAC_SCR00356}</x:v>
      </x:c>
      <x:c r="G73" s="21" t="str">
        <x:v>primary_source</x:v>
      </x:c>
      <x:c r="H73" s="21" t="str">
        <x:v>none</x:v>
      </x:c>
      <x:c r="I73" s="21" t="str">
        <x:v>standalone_primary_report</x:v>
      </x:c>
      <x:c r="J73" s="21" t="str">
        <x:v>Exploitation of FMF capabilities for joint communications and sensing</x:v>
      </x:c>
      <x:c r="K73" s="21" t="str">
        <x:v>Gaiani S.; Fasano M.; Gatto A.; Parolari P.; Martelli P.; Boffi P.</x:v>
      </x:c>
      <x:c r="L73" s="23" t="str">
        <x:v>2025</x:v>
      </x:c>
      <x:c r="M73" s="21" t="str">
        <x:v>International Conference on Transparent Optical Networks</x:v>
      </x:c>
      <x:c r="N73" s="21" t="str">
        <x:v>10.1109/icton67126.2025.11125376</x:v>
      </x:c>
      <x:c r="O73" s="21" t="str">
        <x:v>https://doi.org/10.1109/icton67126.2025.11125376</x:v>
      </x:c>
      <x:c r="P73" s="21" t="str">
        <x:v>Conference paper</x:v>
      </x:c>
      <x:c r="Q73" s="23" t="str">
        <x:v>10</x:v>
      </x:c>
      <x:c r="R73" s="23" t="str">
        <x:v>7</x:v>
      </x:c>
      <x:c r="S73" s="23" t="str">
        <x:v>0</x:v>
      </x:c>
      <x:c r="T73" s="23" t="str">
        <x:v>0</x:v>
      </x:c>
      <x:c r="U73" s="23" t="str">
        <x:v>0</x:v>
      </x:c>
      <x:c r="V73" s="23" t="str">
        <x:v>0</x:v>
      </x:c>
      <x:c r="W73" s="23" t="str">
        <x:v>0</x:v>
      </x:c>
      <x:c r="X73" s="23" t="str">
        <x:v>0</x:v>
      </x:c>
      <x:c r="Y73" s="21" t="str">
        <x:v>eligible_with_study_context</x:v>
      </x:c>
      <x:c r="Z73" s="21" t="str">
        <x:v>complete</x:v>
      </x:c>
      <x:c r="AA73" s="21" t="str">
        <x:v>Source SCR-00356 supplies 10 evidence, 7 metric, and 0 governed tradeoff rows; use gate: eligible_with_study_context.</x:v>
      </x:c>
    </x:row>
    <x:row r="74" ht="42" customHeight="1">
      <x:c r="A74" s="21" t="str">
        <x:v>STC-SINGLETON-SCR-00361</x:v>
      </x:c>
      <x:c r="B74" s="21" t="str">
        <x:v>OISAC_SCR00361</x:v>
      </x:c>
      <x:c r="C74" s="21" t="str">
        <x:v>RPT-SCR-00361-01</x:v>
      </x:c>
      <x:c r="D74" s="21" t="str">
        <x:v>SCR-00361</x:v>
      </x:c>
      <x:c r="E74" s="21" t="str">
        <x:v>OISAC_SCR00361</x:v>
      </x:c>
      <x:c r="F74" s="21" t="str">
        <x:v>\cite{OISAC_SCR00361}</x:v>
      </x:c>
      <x:c r="G74" s="21" t="str">
        <x:v>primary_source</x:v>
      </x:c>
      <x:c r="H74" s="21" t="str">
        <x:v>none</x:v>
      </x:c>
      <x:c r="I74" s="21" t="str">
        <x:v>standalone_primary_report</x:v>
      </x:c>
      <x:c r="J74" s="21" t="str">
        <x:v>Photonic-aided Doppler-robust ISAC system based on index modulation and chirp multiplexing</x:v>
      </x:c>
      <x:c r="K74" s="21" t="str">
        <x:v>Yixiao Z.; Xuan L.; Shanghong Z.; Guodong W.; Ruiqiong W.; Qingqing M.; Lingrui X.; Hao Q.; Zihang Z.</x:v>
      </x:c>
      <x:c r="L74" s="23" t="str">
        <x:v>2025</x:v>
      </x:c>
      <x:c r="M74" s="21" t="str">
        <x:v>Optics Express</x:v>
      </x:c>
      <x:c r="N74" s="21" t="str">
        <x:v>10.1364/oe.564416</x:v>
      </x:c>
      <x:c r="O74" s="21" t="str">
        <x:v>https://doi.org/10.1364/oe.564416</x:v>
      </x:c>
      <x:c r="P74" s="21" t="str">
        <x:v>Article</x:v>
      </x:c>
      <x:c r="Q74" s="23" t="str">
        <x:v>10</x:v>
      </x:c>
      <x:c r="R74" s="23" t="str">
        <x:v>12</x:v>
      </x:c>
      <x:c r="S74" s="23" t="str">
        <x:v>3</x:v>
      </x:c>
      <x:c r="T74" s="23" t="str">
        <x:v>0</x:v>
      </x:c>
      <x:c r="U74" s="23" t="str">
        <x:v>0</x:v>
      </x:c>
      <x:c r="V74" s="23" t="str">
        <x:v>0</x:v>
      </x:c>
      <x:c r="W74" s="23" t="str">
        <x:v>0</x:v>
      </x:c>
      <x:c r="X74" s="23" t="str">
        <x:v>0</x:v>
      </x:c>
      <x:c r="Y74" s="21" t="str">
        <x:v>eligible_with_study_context</x:v>
      </x:c>
      <x:c r="Z74" s="21" t="str">
        <x:v>complete</x:v>
      </x:c>
      <x:c r="AA74" s="21" t="str">
        <x:v>Source SCR-00361 supplies 10 evidence, 12 metric, and 3 governed tradeoff rows; use gate: eligible_with_study_context.</x:v>
      </x:c>
    </x:row>
    <x:row r="75" ht="42" customHeight="1">
      <x:c r="A75" s="21" t="str">
        <x:v>STC-SINGLETON-SCR-00362</x:v>
      </x:c>
      <x:c r="B75" s="21" t="str">
        <x:v>OISAC_SCR00362</x:v>
      </x:c>
      <x:c r="C75" s="21" t="str">
        <x:v>RPT-SCR-00362-01</x:v>
      </x:c>
      <x:c r="D75" s="21" t="str">
        <x:v>SCR-00362</x:v>
      </x:c>
      <x:c r="E75" s="21" t="str">
        <x:v>OISAC_SCR00362</x:v>
      </x:c>
      <x:c r="F75" s="21" t="str">
        <x:v>\cite{OISAC_SCR00362}</x:v>
      </x:c>
      <x:c r="G75" s="21" t="str">
        <x:v>primary_source</x:v>
      </x:c>
      <x:c r="H75" s="21" t="str">
        <x:v>none</x:v>
      </x:c>
      <x:c r="I75" s="21" t="str">
        <x:v>standalone_primary_report</x:v>
      </x:c>
      <x:c r="J75" s="21" t="str">
        <x:v>Frequency-comb-steered ultrawideband quasi-true-time-delay beamformer for integrated sensing and communication</x:v>
      </x:c>
      <x:c r="K75" s="21" t="str">
        <x:v>Wang M.; Zhang W.; Ren Z.; Li S.; Zheng X.; Xue X.</x:v>
      </x:c>
      <x:c r="L75" s="23" t="str">
        <x:v>2025</x:v>
      </x:c>
      <x:c r="M75" s="21" t="str">
        <x:v>Nature Communications</x:v>
      </x:c>
      <x:c r="N75" s="21" t="str">
        <x:v>10.1038/s41467-025-62854-z</x:v>
      </x:c>
      <x:c r="O75" s="21" t="str">
        <x:v>https://doi.org/10.1038/s41467-025-62854-z</x:v>
      </x:c>
      <x:c r="P75" s="21" t="str">
        <x:v>Article</x:v>
      </x:c>
      <x:c r="Q75" s="23" t="str">
        <x:v>15</x:v>
      </x:c>
      <x:c r="R75" s="23" t="str">
        <x:v>12</x:v>
      </x:c>
      <x:c r="S75" s="23" t="str">
        <x:v>2</x:v>
      </x:c>
      <x:c r="T75" s="23" t="str">
        <x:v>0</x:v>
      </x:c>
      <x:c r="U75" s="23" t="str">
        <x:v>0</x:v>
      </x:c>
      <x:c r="V75" s="23" t="str">
        <x:v>0</x:v>
      </x:c>
      <x:c r="W75" s="23" t="str">
        <x:v>0</x:v>
      </x:c>
      <x:c r="X75" s="23" t="str">
        <x:v>0</x:v>
      </x:c>
      <x:c r="Y75" s="21" t="str">
        <x:v>eligible_with_study_context</x:v>
      </x:c>
      <x:c r="Z75" s="21" t="str">
        <x:v>complete</x:v>
      </x:c>
      <x:c r="AA75" s="21" t="str">
        <x:v>Source SCR-00362 supplies 15 evidence, 12 metric, and 2 governed tradeoff rows; use gate: eligible_with_study_context.</x:v>
      </x:c>
    </x:row>
    <x:row r="76" ht="42" customHeight="1">
      <x:c r="A76" s="21" t="str">
        <x:v>STC-SINGLETON-SCR-00366</x:v>
      </x:c>
      <x:c r="B76" s="21" t="str">
        <x:v>OISAC_SCR00366</x:v>
      </x:c>
      <x:c r="C76" s="21" t="str">
        <x:v>RPT-SCR-00366-01</x:v>
      </x:c>
      <x:c r="D76" s="21" t="str">
        <x:v>SCR-00366</x:v>
      </x:c>
      <x:c r="E76" s="21" t="str">
        <x:v>OISAC_SCR00366</x:v>
      </x:c>
      <x:c r="F76" s="21" t="str">
        <x:v>\cite{OISAC_SCR00366}</x:v>
      </x:c>
      <x:c r="G76" s="21" t="str">
        <x:v>primary_source</x:v>
      </x:c>
      <x:c r="H76" s="21" t="str">
        <x:v>none</x:v>
      </x:c>
      <x:c r="I76" s="21" t="str">
        <x:v>standalone_primary_report</x:v>
      </x:c>
      <x:c r="J76" s="21" t="str">
        <x:v>Integrated ultra-large dynamic vibration sensing with fronthaul analog radio-over-fiber transmission</x:v>
      </x:c>
      <x:c r="K76" s="21" t="str">
        <x:v>Wang J.; Zhang J.; Lau A.P.T.; Lu C.</x:v>
      </x:c>
      <x:c r="L76" s="23" t="str">
        <x:v>2025</x:v>
      </x:c>
      <x:c r="M76" s="21" t="str">
        <x:v>Photonics Research</x:v>
      </x:c>
      <x:c r="N76" s="21" t="str">
        <x:v>10.1364/prj.553098</x:v>
      </x:c>
      <x:c r="O76" s="21" t="str">
        <x:v>https://doi.org/10.1364/prj.553098</x:v>
      </x:c>
      <x:c r="P76" s="21" t="str">
        <x:v>Article</x:v>
      </x:c>
      <x:c r="Q76" s="23" t="str">
        <x:v>12</x:v>
      </x:c>
      <x:c r="R76" s="23" t="str">
        <x:v>18</x:v>
      </x:c>
      <x:c r="S76" s="23" t="str">
        <x:v>3</x:v>
      </x:c>
      <x:c r="T76" s="23" t="str">
        <x:v>0</x:v>
      </x:c>
      <x:c r="U76" s="23" t="str">
        <x:v>15</x:v>
      </x:c>
      <x:c r="V76" s="23" t="str">
        <x:v>0</x:v>
      </x:c>
      <x:c r="W76" s="23" t="str">
        <x:v>12</x:v>
      </x:c>
      <x:c r="X76" s="23" t="str">
        <x:v>0</x:v>
      </x:c>
      <x:c r="Y76" s="21" t="str">
        <x:v>eligible_with_study_context</x:v>
      </x:c>
      <x:c r="Z76" s="21" t="str">
        <x:v>complete</x:v>
      </x:c>
      <x:c r="AA76" s="21" t="str">
        <x:v>Source SCR-00366 supplies 12 evidence, 18 metric, and 3 governed tradeoff rows; use gate: eligible_with_study_context.</x:v>
      </x:c>
    </x:row>
    <x:row r="77" ht="42" customHeight="1">
      <x:c r="A77" s="21" t="str">
        <x:v>STC-SINGLETON-SCR-00367</x:v>
      </x:c>
      <x:c r="B77" s="21" t="str">
        <x:v>OISAC_SCR00367</x:v>
      </x:c>
      <x:c r="C77" s="21" t="str">
        <x:v>RPT-SCR-00367-01</x:v>
      </x:c>
      <x:c r="D77" s="21" t="str">
        <x:v>SCR-00367</x:v>
      </x:c>
      <x:c r="E77" s="21" t="str">
        <x:v>OISAC_SCR00367</x:v>
      </x:c>
      <x:c r="F77" s="21" t="str">
        <x:v>\cite{OISAC_SCR00367}</x:v>
      </x:c>
      <x:c r="G77" s="21" t="str">
        <x:v>primary_source</x:v>
      </x:c>
      <x:c r="H77" s="21" t="str">
        <x:v>none</x:v>
      </x:c>
      <x:c r="I77" s="21" t="str">
        <x:v>standalone_primary_report</x:v>
      </x:c>
      <x:c r="J77" s="21" t="str">
        <x:v>Common bias-digital subcarrier multiplexing scheme for integrated sensing and communication in short-reach optical transmission systems</x:v>
      </x:c>
      <x:c r="K77" s="21" t="str">
        <x:v>Shi J.; Han Y.; Li Y.; Gui X.; Fu X.; Li Z.</x:v>
      </x:c>
      <x:c r="L77" s="23" t="str">
        <x:v>2025</x:v>
      </x:c>
      <x:c r="M77" s="21" t="str">
        <x:v>Optics Express</x:v>
      </x:c>
      <x:c r="N77" s="21" t="str">
        <x:v>10.1364/oe.565431</x:v>
      </x:c>
      <x:c r="O77" s="21" t="str">
        <x:v>https://doi.org/10.1364/oe.565431</x:v>
      </x:c>
      <x:c r="P77" s="21" t="str">
        <x:v>Article</x:v>
      </x:c>
      <x:c r="Q77" s="23" t="str">
        <x:v>11</x:v>
      </x:c>
      <x:c r="R77" s="23" t="str">
        <x:v>15</x:v>
      </x:c>
      <x:c r="S77" s="23" t="str">
        <x:v>2</x:v>
      </x:c>
      <x:c r="T77" s="23" t="str">
        <x:v>0</x:v>
      </x:c>
      <x:c r="U77" s="23" t="str">
        <x:v>13</x:v>
      </x:c>
      <x:c r="V77" s="23" t="str">
        <x:v>0</x:v>
      </x:c>
      <x:c r="W77" s="23" t="str">
        <x:v>11</x:v>
      </x:c>
      <x:c r="X77" s="23" t="str">
        <x:v>0</x:v>
      </x:c>
      <x:c r="Y77" s="21" t="str">
        <x:v>eligible_with_study_context</x:v>
      </x:c>
      <x:c r="Z77" s="21" t="str">
        <x:v>complete</x:v>
      </x:c>
      <x:c r="AA77" s="21" t="str">
        <x:v>Source SCR-00367 supplies 11 evidence, 15 metric, and 2 governed tradeoff rows; use gate: eligible_with_study_context.</x:v>
      </x:c>
    </x:row>
    <x:row r="78" ht="42" customHeight="1">
      <x:c r="A78" s="21" t="str">
        <x:v>STC-SINGLETON-SCR-00369</x:v>
      </x:c>
      <x:c r="B78" s="21" t="str">
        <x:v>OISAC_SCR00369</x:v>
      </x:c>
      <x:c r="C78" s="21" t="str">
        <x:v>RPT-SCR-00369-01</x:v>
      </x:c>
      <x:c r="D78" s="21" t="str">
        <x:v>SCR-00369</x:v>
      </x:c>
      <x:c r="E78" s="21" t="str">
        <x:v>OISAC_SCR00369</x:v>
      </x:c>
      <x:c r="F78" s="21" t="str">
        <x:v>\cite{OISAC_SCR00369}</x:v>
      </x:c>
      <x:c r="G78" s="21" t="str">
        <x:v>primary_source</x:v>
      </x:c>
      <x:c r="H78" s="21" t="str">
        <x:v>none</x:v>
      </x:c>
      <x:c r="I78" s="21" t="str">
        <x:v>standalone_primary_report</x:v>
      </x:c>
      <x:c r="J78" s="21" t="str">
        <x:v>Simultaneous polarization demultiplexing and vibration sensing via single pilot tone in DSCM-ISAC systems</x:v>
      </x:c>
      <x:c r="K78" s="21" t="str">
        <x:v>Song Y.; Deng M.; Liu Y.; Wang W.; Li F.</x:v>
      </x:c>
      <x:c r="L78" s="23" t="str">
        <x:v>2025</x:v>
      </x:c>
      <x:c r="M78" s="21" t="str">
        <x:v>Optics Express</x:v>
      </x:c>
      <x:c r="N78" s="21" t="str">
        <x:v>10.1364/oe.582621</x:v>
      </x:c>
      <x:c r="O78" s="21" t="str">
        <x:v>https://doi.org/10.1364/oe.582621</x:v>
      </x:c>
      <x:c r="P78" s="21" t="str">
        <x:v>Article</x:v>
      </x:c>
      <x:c r="Q78" s="23" t="str">
        <x:v>12</x:v>
      </x:c>
      <x:c r="R78" s="23" t="str">
        <x:v>18</x:v>
      </x:c>
      <x:c r="S78" s="23" t="str">
        <x:v>3</x:v>
      </x:c>
      <x:c r="T78" s="23" t="str">
        <x:v>0</x:v>
      </x:c>
      <x:c r="U78" s="23" t="str">
        <x:v>15</x:v>
      </x:c>
      <x:c r="V78" s="23" t="str">
        <x:v>0</x:v>
      </x:c>
      <x:c r="W78" s="23" t="str">
        <x:v>12</x:v>
      </x:c>
      <x:c r="X78" s="23" t="str">
        <x:v>0</x:v>
      </x:c>
      <x:c r="Y78" s="21" t="str">
        <x:v>eligible_with_study_context</x:v>
      </x:c>
      <x:c r="Z78" s="21" t="str">
        <x:v>complete</x:v>
      </x:c>
      <x:c r="AA78" s="21" t="str">
        <x:v>Source SCR-00369 supplies 12 evidence, 18 metric, and 3 governed tradeoff rows; use gate: eligible_with_study_context.</x:v>
      </x:c>
    </x:row>
    <x:row r="79" ht="42" customHeight="1">
      <x:c r="A79" s="21" t="str">
        <x:v>STC-SINGLETON-SCR-00376</x:v>
      </x:c>
      <x:c r="B79" s="21" t="str">
        <x:v>OISAC_SCR00376</x:v>
      </x:c>
      <x:c r="C79" s="21" t="str">
        <x:v>RPT-SCR-00376-01</x:v>
      </x:c>
      <x:c r="D79" s="21" t="str">
        <x:v>SCR-00376</x:v>
      </x:c>
      <x:c r="E79" s="21" t="str">
        <x:v>OISAC_SCR00376</x:v>
      </x:c>
      <x:c r="F79" s="21" t="str">
        <x:v>\cite{OISAC_SCR00376}</x:v>
      </x:c>
      <x:c r="G79" s="21" t="str">
        <x:v>primary_source</x:v>
      </x:c>
      <x:c r="H79" s="21" t="str">
        <x:v>none</x:v>
      </x:c>
      <x:c r="I79" s="21" t="str">
        <x:v>standalone_primary_report</x:v>
      </x:c>
      <x:c r="J79" s="21" t="str">
        <x:v>An integrated sensing and communication solar skin for health monitoring and human–machine interaction</x:v>
      </x:c>
      <x:c r="K79" s="21" t="str">
        <x:v>Li J.; Tao J.; Ge C.; Xu C.; Wang J.; Xu Z.; Wang H.; Xu Q.; Zhao H.; Zhang C.; Gui W.; Gao W.; Liang X.; Xu X.; Ding W.</x:v>
      </x:c>
      <x:c r="L79" s="23" t="str">
        <x:v>2026</x:v>
      </x:c>
      <x:c r="M79" s="21" t="str">
        <x:v>Nano Energy</x:v>
      </x:c>
      <x:c r="N79" s="21" t="str">
        <x:v>10.1016/j.nanoen.2025.111639</x:v>
      </x:c>
      <x:c r="O79" s="21" t="str">
        <x:v>https://doi.org/10.1016/j.nanoen.2025.111639</x:v>
      </x:c>
      <x:c r="P79" s="21" t="str">
        <x:v>Article</x:v>
      </x:c>
      <x:c r="Q79" s="23" t="str">
        <x:v>14</x:v>
      </x:c>
      <x:c r="R79" s="23" t="str">
        <x:v>22</x:v>
      </x:c>
      <x:c r="S79" s="23" t="str">
        <x:v>0</x:v>
      </x:c>
      <x:c r="T79" s="23" t="str">
        <x:v>0</x:v>
      </x:c>
      <x:c r="U79" s="23" t="str">
        <x:v>14</x:v>
      </x:c>
      <x:c r="V79" s="23" t="str">
        <x:v>0</x:v>
      </x:c>
      <x:c r="W79" s="23" t="str">
        <x:v>14</x:v>
      </x:c>
      <x:c r="X79" s="23" t="str">
        <x:v>0</x:v>
      </x:c>
      <x:c r="Y79" s="21" t="str">
        <x:v>eligible_with_study_context</x:v>
      </x:c>
      <x:c r="Z79" s="21" t="str">
        <x:v>complete</x:v>
      </x:c>
      <x:c r="AA79" s="21" t="str">
        <x:v>Source SCR-00376 supplies 14 evidence, 22 metric, and 0 governed tradeoff rows; use gate: eligible_with_study_context.</x:v>
      </x:c>
    </x:row>
    <x:row r="80" ht="42" customHeight="1">
      <x:c r="A80" s="21" t="str">
        <x:v>STC-SINGLETON-SCR-00379</x:v>
      </x:c>
      <x:c r="B80" s="21" t="str">
        <x:v>OISAC_SCR00379</x:v>
      </x:c>
      <x:c r="C80" s="21" t="str">
        <x:v>RPT-SCR-00379-01</x:v>
      </x:c>
      <x:c r="D80" s="21" t="str">
        <x:v>SCR-00379</x:v>
      </x:c>
      <x:c r="E80" s="21" t="str">
        <x:v>OISAC_SCR00379</x:v>
      </x:c>
      <x:c r="F80" s="21" t="str">
        <x:v>\cite{OISAC_SCR00379}</x:v>
      </x:c>
      <x:c r="G80" s="21" t="str">
        <x:v>primary_source</x:v>
      </x:c>
      <x:c r="H80" s="21" t="str">
        <x:v>none</x:v>
      </x:c>
      <x:c r="I80" s="21" t="str">
        <x:v>standalone_primary_report</x:v>
      </x:c>
      <x:c r="J80" s="21" t="str">
        <x:v>Enhanced Room Coverage With Photon-Level NLOS Ultraviolet Optical Wireless Communication</x:v>
      </x:c>
      <x:c r="K80" s="21" t="str">
        <x:v>Shao J.; Zerihun Gutema T.; Popoola W.O.</x:v>
      </x:c>
      <x:c r="L80" s="23" t="str">
        <x:v>2025</x:v>
      </x:c>
      <x:c r="M80" s="21" t="str">
        <x:v>IEEE Photonics Technology Letters</x:v>
      </x:c>
      <x:c r="N80" s="21" t="str">
        <x:v>10.1109/lpt.2025.3559423</x:v>
      </x:c>
      <x:c r="O80" s="21" t="str">
        <x:v>https://doi.org/10.1109/lpt.2025.3559423</x:v>
      </x:c>
      <x:c r="P80" s="21" t="str">
        <x:v>Article</x:v>
      </x:c>
      <x:c r="Q80" s="23" t="str">
        <x:v>12</x:v>
      </x:c>
      <x:c r="R80" s="23" t="str">
        <x:v>13</x:v>
      </x:c>
      <x:c r="S80" s="23" t="str">
        <x:v>0</x:v>
      </x:c>
      <x:c r="T80" s="23" t="str">
        <x:v>0</x:v>
      </x:c>
      <x:c r="U80" s="23" t="str">
        <x:v>0</x:v>
      </x:c>
      <x:c r="V80" s="23" t="str">
        <x:v>0</x:v>
      </x:c>
      <x:c r="W80" s="23" t="str">
        <x:v>0</x:v>
      </x:c>
      <x:c r="X80" s="23" t="str">
        <x:v>0</x:v>
      </x:c>
      <x:c r="Y80" s="21" t="str">
        <x:v>eligible_with_study_context</x:v>
      </x:c>
      <x:c r="Z80" s="21" t="str">
        <x:v>complete</x:v>
      </x:c>
      <x:c r="AA80" s="21" t="str">
        <x:v>Source SCR-00379 supplies 12 evidence, 13 metric, and 0 governed tradeoff rows; use gate: eligible_with_study_context.</x:v>
      </x:c>
    </x:row>
    <x:row r="81" ht="42" customHeight="1">
      <x:c r="A81" s="21" t="str">
        <x:v>STC-SINGLETON-SCR-00387</x:v>
      </x:c>
      <x:c r="B81" s="21" t="str">
        <x:v>OISAC_SCR00387</x:v>
      </x:c>
      <x:c r="C81" s="21" t="str">
        <x:v>RPT-SCR-00387-01</x:v>
      </x:c>
      <x:c r="D81" s="21" t="str">
        <x:v>SCR-00387</x:v>
      </x:c>
      <x:c r="E81" s="21" t="str">
        <x:v>OISAC_SCR00387</x:v>
      </x:c>
      <x:c r="F81" s="21" t="str">
        <x:v>\cite{OISAC_SCR00387}</x:v>
      </x:c>
      <x:c r="G81" s="21" t="str">
        <x:v>primary_source</x:v>
      </x:c>
      <x:c r="H81" s="21" t="str">
        <x:v>none</x:v>
      </x:c>
      <x:c r="I81" s="21" t="str">
        <x:v>standalone_primary_report</x:v>
      </x:c>
      <x:c r="J81" s="21" t="str">
        <x:v>Demonstration of Ranging-Based Phase Encryption for Enhanced Free-Space Optical Security</x:v>
      </x:c>
      <x:c r="K81" s="21" t="str">
        <x:v>Yue Z.; Liu Y.; Dong B.; Zhang H.; Chen C.; Chi N.; Zhang J.</x:v>
      </x:c>
      <x:c r="L81" s="23" t="str">
        <x:v>2026</x:v>
      </x:c>
      <x:c r="M81" s="21" t="str">
        <x:v>Journal of Lightwave Technology</x:v>
      </x:c>
      <x:c r="N81" s="21" t="str">
        <x:v>10.1109/jlt.2026.3659143</x:v>
      </x:c>
      <x:c r="O81" s="21" t="str">
        <x:v>https://doi.org/10.1109/jlt.2026.3659143</x:v>
      </x:c>
      <x:c r="P81" s="21" t="str">
        <x:v>Article</x:v>
      </x:c>
      <x:c r="Q81" s="23" t="str">
        <x:v>15</x:v>
      </x:c>
      <x:c r="R81" s="23" t="str">
        <x:v>16</x:v>
      </x:c>
      <x:c r="S81" s="23" t="str">
        <x:v>2</x:v>
      </x:c>
      <x:c r="T81" s="23" t="str">
        <x:v>0</x:v>
      </x:c>
      <x:c r="U81" s="23" t="str">
        <x:v>0</x:v>
      </x:c>
      <x:c r="V81" s="23" t="str">
        <x:v>0</x:v>
      </x:c>
      <x:c r="W81" s="23" t="str">
        <x:v>0</x:v>
      </x:c>
      <x:c r="X81" s="23" t="str">
        <x:v>0</x:v>
      </x:c>
      <x:c r="Y81" s="21" t="str">
        <x:v>eligible_with_study_context</x:v>
      </x:c>
      <x:c r="Z81" s="21" t="str">
        <x:v>complete</x:v>
      </x:c>
      <x:c r="AA81" s="21" t="str">
        <x:v>Source SCR-00387 supplies 15 evidence, 16 metric, and 2 governed tradeoff rows; use gate: eligible_with_study_context.</x:v>
      </x:c>
    </x:row>
    <x:row r="82" ht="42" customHeight="1">
      <x:c r="A82" s="21" t="str">
        <x:v>STC-SINGLETON-SCR-00396</x:v>
      </x:c>
      <x:c r="B82" s="21" t="str">
        <x:v>OISAC_SCR00396</x:v>
      </x:c>
      <x:c r="C82" s="21" t="str">
        <x:v>RPT-SCR-00396-01</x:v>
      </x:c>
      <x:c r="D82" s="21" t="str">
        <x:v>SCR-00396</x:v>
      </x:c>
      <x:c r="E82" s="21" t="str">
        <x:v>OISAC_SCR00396</x:v>
      </x:c>
      <x:c r="F82" s="21" t="str">
        <x:v>\cite{OISAC_SCR00396}</x:v>
      </x:c>
      <x:c r="G82" s="21" t="str">
        <x:v>primary_source</x:v>
      </x:c>
      <x:c r="H82" s="21" t="str">
        <x:v>none</x:v>
      </x:c>
      <x:c r="I82" s="21" t="str">
        <x:v>standalone_primary_report</x:v>
      </x:c>
      <x:c r="J82" s="21" t="str">
        <x:v>Integrated sensing and communication system based on a photonic integrated broadband multi-beamformer</x:v>
      </x:c>
      <x:c r="K82" s="21" t="str">
        <x:v>Wang R.; Ma W.; Liu J.; Xu H.; Shen Z.; Li W.</x:v>
      </x:c>
      <x:c r="L82" s="23" t="str">
        <x:v>2025</x:v>
      </x:c>
      <x:c r="M82" s="21" t="str">
        <x:v>Optics Express</x:v>
      </x:c>
      <x:c r="N82" s="21" t="str">
        <x:v>10.1364/oe.555053</x:v>
      </x:c>
      <x:c r="O82" s="21" t="str">
        <x:v>https://doi.org/10.1364/oe.555053</x:v>
      </x:c>
      <x:c r="P82" s="21" t="str">
        <x:v>Article</x:v>
      </x:c>
      <x:c r="Q82" s="23" t="str">
        <x:v>14</x:v>
      </x:c>
      <x:c r="R82" s="23" t="str">
        <x:v>23</x:v>
      </x:c>
      <x:c r="S82" s="23" t="str">
        <x:v>2</x:v>
      </x:c>
      <x:c r="T82" s="23" t="str">
        <x:v>0</x:v>
      </x:c>
      <x:c r="U82" s="23" t="str">
        <x:v>0</x:v>
      </x:c>
      <x:c r="V82" s="23" t="str">
        <x:v>0</x:v>
      </x:c>
      <x:c r="W82" s="23" t="str">
        <x:v>0</x:v>
      </x:c>
      <x:c r="X82" s="23" t="str">
        <x:v>0</x:v>
      </x:c>
      <x:c r="Y82" s="21" t="str">
        <x:v>eligible_with_study_context</x:v>
      </x:c>
      <x:c r="Z82" s="21" t="str">
        <x:v>complete</x:v>
      </x:c>
      <x:c r="AA82" s="21" t="str">
        <x:v>Source SCR-00396 supplies 14 evidence, 23 metric, and 2 governed tradeoff rows; use gate: eligible_with_study_context.</x:v>
      </x:c>
    </x:row>
    <x:row r="83" ht="42" customHeight="1">
      <x:c r="A83" s="21" t="str">
        <x:v>STC-SINGLETON-SCR-00406</x:v>
      </x:c>
      <x:c r="B83" s="21" t="str">
        <x:v>OISAC_SCR00406</x:v>
      </x:c>
      <x:c r="C83" s="21" t="str">
        <x:v>RPT-SCR-00406-01</x:v>
      </x:c>
      <x:c r="D83" s="21" t="str">
        <x:v>SCR-00406</x:v>
      </x:c>
      <x:c r="E83" s="21" t="str">
        <x:v>OISAC_SCR00406</x:v>
      </x:c>
      <x:c r="F83" s="21" t="str">
        <x:v>\cite{OISAC_SCR00406}</x:v>
      </x:c>
      <x:c r="G83" s="21" t="str">
        <x:v>primary_source</x:v>
      </x:c>
      <x:c r="H83" s="21" t="str">
        <x:v>none</x:v>
      </x:c>
      <x:c r="I83" s="21" t="str">
        <x:v>standalone_primary_report</x:v>
      </x:c>
      <x:c r="J83" s="21" t="str">
        <x:v>Microcomb-synchronized optoelectronics</x:v>
      </x:c>
      <x:c r="K83" s="21" t="str">
        <x:v>Zhang X.; Zhang X.; Chen Y.; Jin W.; Zhou Z.; Liu C.; Lao C.; Huang J.; Dong J.; Ma W.; Hu W.; Wang X.; Bowers J.E.; Li W.; Chang L.</x:v>
      </x:c>
      <x:c r="L83" s="23" t="str">
        <x:v>2025</x:v>
      </x:c>
      <x:c r="M83" s="21" t="str">
        <x:v>Nature Electronics</x:v>
      </x:c>
      <x:c r="N83" s="21" t="str">
        <x:v>10.1038/s41928-025-01349-7</x:v>
      </x:c>
      <x:c r="O83" s="21" t="str">
        <x:v>https://doi.org/10.1038/s41928-025-01349-7</x:v>
      </x:c>
      <x:c r="P83" s="21" t="str">
        <x:v>Article</x:v>
      </x:c>
      <x:c r="Q83" s="23" t="str">
        <x:v>14</x:v>
      </x:c>
      <x:c r="R83" s="23" t="str">
        <x:v>29</x:v>
      </x:c>
      <x:c r="S83" s="23" t="str">
        <x:v>0</x:v>
      </x:c>
      <x:c r="T83" s="23" t="str">
        <x:v>0</x:v>
      </x:c>
      <x:c r="U83" s="23" t="str">
        <x:v>0</x:v>
      </x:c>
      <x:c r="V83" s="23" t="str">
        <x:v>0</x:v>
      </x:c>
      <x:c r="W83" s="23" t="str">
        <x:v>0</x:v>
      </x:c>
      <x:c r="X83" s="23" t="str">
        <x:v>0</x:v>
      </x:c>
      <x:c r="Y83" s="21" t="str">
        <x:v>eligible_with_study_context</x:v>
      </x:c>
      <x:c r="Z83" s="21" t="str">
        <x:v>complete</x:v>
      </x:c>
      <x:c r="AA83" s="21" t="str">
        <x:v>Source SCR-00406 supplies 14 evidence, 29 metric, and 0 governed tradeoff rows; use gate: eligible_with_study_context.</x:v>
      </x:c>
    </x:row>
    <x:row r="84" ht="42" customHeight="1">
      <x:c r="A84" s="21" t="str">
        <x:v>STC-SINGLETON-SCR-00407</x:v>
      </x:c>
      <x:c r="B84" s="21" t="str">
        <x:v>OISAC_SCR00407</x:v>
      </x:c>
      <x:c r="C84" s="21" t="str">
        <x:v>RPT-SCR-00407-01</x:v>
      </x:c>
      <x:c r="D84" s="21" t="str">
        <x:v>SCR-00407</x:v>
      </x:c>
      <x:c r="E84" s="21" t="str">
        <x:v>OISAC_SCR00407</x:v>
      </x:c>
      <x:c r="F84" s="21" t="str">
        <x:v>\cite{OISAC_SCR00407}</x:v>
      </x:c>
      <x:c r="G84" s="21" t="str">
        <x:v>primary_source</x:v>
      </x:c>
      <x:c r="H84" s="21" t="str">
        <x:v>none</x:v>
      </x:c>
      <x:c r="I84" s="21" t="str">
        <x:v>standalone_primary_report</x:v>
      </x:c>
      <x:c r="J84" s="21" t="str">
        <x:v>Analysis of Visible Light-Based ISAC Channel Characteristics in a V2V Scenario</x:v>
      </x:c>
      <x:c r="K84" s="21" t="str">
        <x:v>Dong P.; Tang P.; Yin Y.; Tian L.; Zhang J.</x:v>
      </x:c>
      <x:c r="L84" s="23" t="str">
        <x:v>2025</x:v>
      </x:c>
      <x:c r="M84" s="21" t="str">
        <x:v>IEEE Wireless Communications and Networking Conference, WCNC</x:v>
      </x:c>
      <x:c r="N84" s="21" t="str">
        <x:v>10.1109/wcnc61545.2025.10978645</x:v>
      </x:c>
      <x:c r="O84" s="21" t="str">
        <x:v>https://doi.org/10.1109/wcnc61545.2025.10978645</x:v>
      </x:c>
      <x:c r="P84" s="21" t="str">
        <x:v>Conference paper</x:v>
      </x:c>
      <x:c r="Q84" s="23" t="str">
        <x:v>12</x:v>
      </x:c>
      <x:c r="R84" s="23" t="str">
        <x:v>7</x:v>
      </x:c>
      <x:c r="S84" s="23" t="str">
        <x:v>0</x:v>
      </x:c>
      <x:c r="T84" s="23" t="str">
        <x:v>0</x:v>
      </x:c>
      <x:c r="U84" s="23" t="str">
        <x:v>0</x:v>
      </x:c>
      <x:c r="V84" s="23" t="str">
        <x:v>0</x:v>
      </x:c>
      <x:c r="W84" s="23" t="str">
        <x:v>0</x:v>
      </x:c>
      <x:c r="X84" s="23" t="str">
        <x:v>0</x:v>
      </x:c>
      <x:c r="Y84" s="21" t="str">
        <x:v>eligible_with_study_context</x:v>
      </x:c>
      <x:c r="Z84" s="21" t="str">
        <x:v>complete</x:v>
      </x:c>
      <x:c r="AA84" s="21" t="str">
        <x:v>Source SCR-00407 supplies 12 evidence, 7 metric, and 0 governed tradeoff rows; use gate: eligible_with_study_context.</x:v>
      </x:c>
    </x:row>
    <x:row r="85" ht="42" customHeight="1">
      <x:c r="A85" s="21" t="str">
        <x:v>STC-SINGLETON-SCR-00418</x:v>
      </x:c>
      <x:c r="B85" s="21" t="str">
        <x:v>OISAC_SCR00418</x:v>
      </x:c>
      <x:c r="C85" s="21" t="str">
        <x:v>RPT-SCR-00418-01</x:v>
      </x:c>
      <x:c r="D85" s="21" t="str">
        <x:v>SCR-00418</x:v>
      </x:c>
      <x:c r="E85" s="21" t="str">
        <x:v>OISAC_SCR00418</x:v>
      </x:c>
      <x:c r="F85" s="21" t="str">
        <x:v>\cite{OISAC_SCR00418}</x:v>
      </x:c>
      <x:c r="G85" s="21" t="str">
        <x:v>primary_source</x:v>
      </x:c>
      <x:c r="H85" s="21" t="str">
        <x:v>none</x:v>
      </x:c>
      <x:c r="I85" s="21" t="str">
        <x:v>standalone_primary_report</x:v>
      </x:c>
      <x:c r="J85" s="21" t="str">
        <x:v>W-band photonics-aided OFDM system integrating sensing and communication with phase noise suppression scheme</x:v>
      </x:c>
      <x:c r="K85" s="21" t="str">
        <x:v>Liu J.; Bian C.; He W.; Yang X.; Wei Y.; Zhang Y.; Zhang L.; Wang C.; Wang K.; Zhou W.; Zhao F.; Yu J.</x:v>
      </x:c>
      <x:c r="L85" s="23" t="str">
        <x:v>2025</x:v>
      </x:c>
      <x:c r="M85" s="21" t="str">
        <x:v>Optics and Laser Technology</x:v>
      </x:c>
      <x:c r="N85" s="21" t="str">
        <x:v>10.1016/j.optlastec.2024.111432</x:v>
      </x:c>
      <x:c r="O85" s="21" t="str">
        <x:v>https://doi.org/10.1016/j.optlastec.2024.111432</x:v>
      </x:c>
      <x:c r="P85" s="21" t="str">
        <x:v>Article</x:v>
      </x:c>
      <x:c r="Q85" s="23" t="str">
        <x:v>14</x:v>
      </x:c>
      <x:c r="R85" s="23" t="str">
        <x:v>9</x:v>
      </x:c>
      <x:c r="S85" s="23" t="str">
        <x:v>1</x:v>
      </x:c>
      <x:c r="T85" s="23" t="str">
        <x:v>0</x:v>
      </x:c>
      <x:c r="U85" s="23" t="str">
        <x:v>0</x:v>
      </x:c>
      <x:c r="V85" s="23" t="str">
        <x:v>0</x:v>
      </x:c>
      <x:c r="W85" s="23" t="str">
        <x:v>0</x:v>
      </x:c>
      <x:c r="X85" s="23" t="str">
        <x:v>0</x:v>
      </x:c>
      <x:c r="Y85" s="21" t="str">
        <x:v>eligible_with_study_context</x:v>
      </x:c>
      <x:c r="Z85" s="21" t="str">
        <x:v>complete</x:v>
      </x:c>
      <x:c r="AA85" s="21" t="str">
        <x:v>Source SCR-00418 supplies 14 evidence, 9 metric, and 1 governed tradeoff rows; use gate: eligible_with_study_context.</x:v>
      </x:c>
    </x:row>
    <x:row r="86" ht="42" customHeight="1">
      <x:c r="A86" s="21" t="str">
        <x:v>STC-SINGLETON-SCR-00432</x:v>
      </x:c>
      <x:c r="B86" s="21" t="str">
        <x:v>OISAC_SCR00432</x:v>
      </x:c>
      <x:c r="C86" s="21" t="str">
        <x:v>RPT-SCR-00432-01</x:v>
      </x:c>
      <x:c r="D86" s="21" t="str">
        <x:v>SCR-00432</x:v>
      </x:c>
      <x:c r="E86" s="21" t="str">
        <x:v>OISAC_SCR00432</x:v>
      </x:c>
      <x:c r="F86" s="21" t="str">
        <x:v>\cite{OISAC_SCR00432}</x:v>
      </x:c>
      <x:c r="G86" s="21" t="str">
        <x:v>primary_source</x:v>
      </x:c>
      <x:c r="H86" s="21" t="str">
        <x:v>none</x:v>
      </x:c>
      <x:c r="I86" s="21" t="str">
        <x:v>standalone_primary_report</x:v>
      </x:c>
      <x:c r="J86" s="21" t="str">
        <x:v>Ultrasonic phase extraction method for co-cable identification in coherent optical transmission systems</x:v>
      </x:c>
      <x:c r="K86" s="21" t="str">
        <x:v>Zhou H.; Zuo W.; Qiao Y.; Zhao Y.; Ye B.; Bai C.; Xu H.</x:v>
      </x:c>
      <x:c r="L86" s="23" t="str">
        <x:v>2024</x:v>
      </x:c>
      <x:c r="M86" s="21" t="str">
        <x:v>Chinese Optics Letters</x:v>
      </x:c>
      <x:c r="N86" s="21" t="str">
        <x:v>10.3788/col202422.100601</x:v>
      </x:c>
      <x:c r="O86" s="21" t="str">
        <x:v>https://doi.org/10.3788/col202422.100601</x:v>
      </x:c>
      <x:c r="P86" s="21" t="str">
        <x:v>Article</x:v>
      </x:c>
      <x:c r="Q86" s="23" t="str">
        <x:v>13</x:v>
      </x:c>
      <x:c r="R86" s="23" t="str">
        <x:v>11</x:v>
      </x:c>
      <x:c r="S86" s="23" t="str">
        <x:v>0</x:v>
      </x:c>
      <x:c r="T86" s="23" t="str">
        <x:v>0</x:v>
      </x:c>
      <x:c r="U86" s="23" t="str">
        <x:v>0</x:v>
      </x:c>
      <x:c r="V86" s="23" t="str">
        <x:v>0</x:v>
      </x:c>
      <x:c r="W86" s="23" t="str">
        <x:v>0</x:v>
      </x:c>
      <x:c r="X86" s="23" t="str">
        <x:v>0</x:v>
      </x:c>
      <x:c r="Y86" s="21" t="str">
        <x:v>eligible_with_study_context</x:v>
      </x:c>
      <x:c r="Z86" s="21" t="str">
        <x:v>complete</x:v>
      </x:c>
      <x:c r="AA86" s="21" t="str">
        <x:v>Source SCR-00432 supplies 13 evidence, 11 metric, and 0 governed tradeoff rows; use gate: eligible_with_study_context.</x:v>
      </x:c>
    </x:row>
    <x:row r="87" ht="42" customHeight="1">
      <x:c r="A87" s="21" t="str">
        <x:v>STC-SINGLETON-SCR-00436</x:v>
      </x:c>
      <x:c r="B87" s="21" t="str">
        <x:v>OISAC_SCR00436</x:v>
      </x:c>
      <x:c r="C87" s="21" t="str">
        <x:v>RPT-SCR-00436-01</x:v>
      </x:c>
      <x:c r="D87" s="21" t="str">
        <x:v>SCR-00436</x:v>
      </x:c>
      <x:c r="E87" s="21" t="str">
        <x:v>OISAC_SCR00436</x:v>
      </x:c>
      <x:c r="F87" s="21" t="str">
        <x:v>\cite{OISAC_SCR00436}</x:v>
      </x:c>
      <x:c r="G87" s="21" t="str">
        <x:v>primary_source</x:v>
      </x:c>
      <x:c r="H87" s="21" t="str">
        <x:v>none</x:v>
      </x:c>
      <x:c r="I87" s="21" t="str">
        <x:v>standalone_primary_report</x:v>
      </x:c>
      <x:c r="J87" s="21" t="str">
        <x:v>Optical Transport Network Optimization Supporting Integrated Sensing and Communication Services</x:v>
      </x:c>
      <x:c r="K87" s="21" t="str">
        <x:v>Anastasopoulos M.; Gutiérrez J.; Tzanakaki A.</x:v>
      </x:c>
      <x:c r="L87" s="23" t="str">
        <x:v>2025</x:v>
      </x:c>
      <x:c r="M87" s="21" t="str">
        <x:v>Optical Fiber Communication Conference in Proceedings Optical Fiber Communication Conference, OFC 2025 and Optical Fiber Communication Conference (OFC) Postdeadline Papers 2025</x:v>
      </x:c>
      <x:c r="N87" s="21" t="str">
        <x:v>10.1364/ofc.2025.w2a.48</x:v>
      </x:c>
      <x:c r="O87" s="21" t="str">
        <x:v>https://doi.org/10.1364/ofc.2025.w2a.48</x:v>
      </x:c>
      <x:c r="P87" s="21" t="str">
        <x:v>Conference paper</x:v>
      </x:c>
      <x:c r="Q87" s="23" t="str">
        <x:v>12</x:v>
      </x:c>
      <x:c r="R87" s="23" t="str">
        <x:v>1</x:v>
      </x:c>
      <x:c r="S87" s="23" t="str">
        <x:v>1</x:v>
      </x:c>
      <x:c r="T87" s="23" t="str">
        <x:v>0</x:v>
      </x:c>
      <x:c r="U87" s="23" t="str">
        <x:v>0</x:v>
      </x:c>
      <x:c r="V87" s="23" t="str">
        <x:v>0</x:v>
      </x:c>
      <x:c r="W87" s="23" t="str">
        <x:v>0</x:v>
      </x:c>
      <x:c r="X87" s="23" t="str">
        <x:v>0</x:v>
      </x:c>
      <x:c r="Y87" s="21" t="str">
        <x:v>eligible_with_study_context</x:v>
      </x:c>
      <x:c r="Z87" s="21" t="str">
        <x:v>complete</x:v>
      </x:c>
      <x:c r="AA87" s="21" t="str">
        <x:v>Source SCR-00436 supplies 12 evidence, 1 metric, and 1 governed tradeoff rows; use gate: eligible_with_study_context.</x:v>
      </x:c>
    </x:row>
    <x:row r="88" ht="42" customHeight="1">
      <x:c r="A88" s="21" t="str">
        <x:v>STC-SINGLETON-SCR-00451</x:v>
      </x:c>
      <x:c r="B88" s="21" t="str">
        <x:v>OISAC_SCR00451</x:v>
      </x:c>
      <x:c r="C88" s="21" t="str">
        <x:v>RPT-SCR-00451-01</x:v>
      </x:c>
      <x:c r="D88" s="21" t="str">
        <x:v>SCR-00451</x:v>
      </x:c>
      <x:c r="E88" s="21" t="str">
        <x:v>OISAC_SCR00451</x:v>
      </x:c>
      <x:c r="F88" s="21" t="str">
        <x:v>\cite{OISAC_SCR00451}</x:v>
      </x:c>
      <x:c r="G88" s="21" t="str">
        <x:v>primary_source</x:v>
      </x:c>
      <x:c r="H88" s="21" t="str">
        <x:v>none</x:v>
      </x:c>
      <x:c r="I88" s="21" t="str">
        <x:v>standalone_primary_report</x:v>
      </x:c>
      <x:c r="J88" s="21" t="str">
        <x:v>Wearable Sensors Based on Miniaturized High-Performance Hybrid Nanogenerator for Medical Health Monitoring</x:v>
      </x:c>
      <x:c r="K88" s="21" t="str">
        <x:v>Wu J.; Lin X.; Yang C.; Yang S.; Liu C.; Cao Y.</x:v>
      </x:c>
      <x:c r="L88" s="23" t="str">
        <x:v>2024</x:v>
      </x:c>
      <x:c r="M88" s="21" t="str">
        <x:v>Biosensors</x:v>
      </x:c>
      <x:c r="N88" s="21" t="str">
        <x:v>10.3390/bios14080361</x:v>
      </x:c>
      <x:c r="O88" s="21" t="str">
        <x:v>https://doi.org/10.3390/bios14080361</x:v>
      </x:c>
      <x:c r="P88" s="21" t="str">
        <x:v>Article</x:v>
      </x:c>
      <x:c r="Q88" s="23" t="str">
        <x:v>14</x:v>
      </x:c>
      <x:c r="R88" s="23" t="str">
        <x:v>16</x:v>
      </x:c>
      <x:c r="S88" s="23" t="str">
        <x:v>0</x:v>
      </x:c>
      <x:c r="T88" s="23" t="str">
        <x:v>0</x:v>
      </x:c>
      <x:c r="U88" s="23" t="str">
        <x:v>0</x:v>
      </x:c>
      <x:c r="V88" s="23" t="str">
        <x:v>0</x:v>
      </x:c>
      <x:c r="W88" s="23" t="str">
        <x:v>0</x:v>
      </x:c>
      <x:c r="X88" s="23" t="str">
        <x:v>0</x:v>
      </x:c>
      <x:c r="Y88" s="21" t="str">
        <x:v>eligible_with_study_context</x:v>
      </x:c>
      <x:c r="Z88" s="21" t="str">
        <x:v>complete</x:v>
      </x:c>
      <x:c r="AA88" s="21" t="str">
        <x:v>Source SCR-00451 supplies 14 evidence, 16 metric, and 0 governed tradeoff rows; use gate: eligible_with_study_context.</x:v>
      </x:c>
    </x:row>
    <x:row r="89" ht="42" customHeight="1">
      <x:c r="A89" s="21" t="str">
        <x:v>STC-SINGLETON-SCR-00456</x:v>
      </x:c>
      <x:c r="B89" s="21" t="str">
        <x:v>OISAC_SCR00456</x:v>
      </x:c>
      <x:c r="C89" s="21" t="str">
        <x:v>RPT-SCR-00456-01</x:v>
      </x:c>
      <x:c r="D89" s="21" t="str">
        <x:v>SCR-00456</x:v>
      </x:c>
      <x:c r="E89" s="21" t="str">
        <x:v>OISAC_SCR00456</x:v>
      </x:c>
      <x:c r="F89" s="21" t="str">
        <x:v>\cite{OISAC_SCR00456}</x:v>
      </x:c>
      <x:c r="G89" s="21" t="str">
        <x:v>primary_source</x:v>
      </x:c>
      <x:c r="H89" s="21" t="str">
        <x:v>none</x:v>
      </x:c>
      <x:c r="I89" s="21" t="str">
        <x:v>standalone_primary_report</x:v>
      </x:c>
      <x:c r="J89" s="21" t="str">
        <x:v>An Adaptive Control System for Satellite-Ground Laser Communication Based on Integrated Sensing and Communication</x:v>
      </x:c>
      <x:c r="K89" s="21" t="str">
        <x:v>Wu M.; Yang H.; Liu W.; Yao Q.; Zhang J.; Cheriet M.</x:v>
      </x:c>
      <x:c r="L89" s="23" t="str">
        <x:v>2025</x:v>
      </x:c>
      <x:c r="M89" s="21" t="str">
        <x:v>Opto-Electronics and Communications Conference, OECC</x:v>
      </x:c>
      <x:c r="N89" s="21" t="str">
        <x:v>10.23919/oecc/psc62146.2025.11110813</x:v>
      </x:c>
      <x:c r="O89" s="21" t="str">
        <x:v>https://doi.org/10.23919/oecc/psc62146.2025.11110813</x:v>
      </x:c>
      <x:c r="P89" s="21" t="str">
        <x:v>Conference paper</x:v>
      </x:c>
      <x:c r="Q89" s="23" t="str">
        <x:v>13</x:v>
      </x:c>
      <x:c r="R89" s="23" t="str">
        <x:v>13</x:v>
      </x:c>
      <x:c r="S89" s="23" t="str">
        <x:v>0</x:v>
      </x:c>
      <x:c r="T89" s="23" t="str">
        <x:v>0</x:v>
      </x:c>
      <x:c r="U89" s="23" t="str">
        <x:v>0</x:v>
      </x:c>
      <x:c r="V89" s="23" t="str">
        <x:v>0</x:v>
      </x:c>
      <x:c r="W89" s="23" t="str">
        <x:v>0</x:v>
      </x:c>
      <x:c r="X89" s="23" t="str">
        <x:v>0</x:v>
      </x:c>
      <x:c r="Y89" s="21" t="str">
        <x:v>eligible_with_study_context</x:v>
      </x:c>
      <x:c r="Z89" s="21" t="str">
        <x:v>complete</x:v>
      </x:c>
      <x:c r="AA89" s="21" t="str">
        <x:v>Source SCR-00456 supplies 13 evidence, 13 metric, and 0 governed tradeoff rows; use gate: eligible_with_study_context.</x:v>
      </x:c>
    </x:row>
    <x:row r="90" ht="42" customHeight="1">
      <x:c r="A90" s="21" t="str">
        <x:v>STC-SINGLETON-SCR-00460</x:v>
      </x:c>
      <x:c r="B90" s="21" t="str">
        <x:v>OISAC_SCR00460</x:v>
      </x:c>
      <x:c r="C90" s="21" t="str">
        <x:v>RPT-SCR-00460-01</x:v>
      </x:c>
      <x:c r="D90" s="21" t="str">
        <x:v>SCR-00460</x:v>
      </x:c>
      <x:c r="E90" s="21" t="str">
        <x:v>OISAC_SCR00460</x:v>
      </x:c>
      <x:c r="F90" s="21" t="str">
        <x:v>\cite{OISAC_SCR00460}</x:v>
      </x:c>
      <x:c r="G90" s="21" t="str">
        <x:v>primary_source</x:v>
      </x:c>
      <x:c r="H90" s="21" t="str">
        <x:v>none</x:v>
      </x:c>
      <x:c r="I90" s="21" t="str">
        <x:v>standalone_primary_report</x:v>
      </x:c>
      <x:c r="J90" s="21" t="str">
        <x:v>Integrated high precision time-of-flight depth sensing and optical communication based on Hamiltonian coding</x:v>
      </x:c>
      <x:c r="K90" s="21" t="str">
        <x:v>Tang L.; Hu Z.; Teng D.; Liu L.</x:v>
      </x:c>
      <x:c r="L90" s="23" t="str">
        <x:v>2023</x:v>
      </x:c>
      <x:c r="M90" s="21" t="str">
        <x:v>Optics Communications</x:v>
      </x:c>
      <x:c r="N90" s="21" t="str">
        <x:v>10.1016/j.optcom.2023.129484</x:v>
      </x:c>
      <x:c r="O90" s="21" t="str">
        <x:v>https://doi.org/10.1016/j.optcom.2023.129484</x:v>
      </x:c>
      <x:c r="P90" s="21" t="str">
        <x:v>Article</x:v>
      </x:c>
      <x:c r="Q90" s="23" t="str">
        <x:v>14</x:v>
      </x:c>
      <x:c r="R90" s="23" t="str">
        <x:v>20</x:v>
      </x:c>
      <x:c r="S90" s="23" t="str">
        <x:v>2</x:v>
      </x:c>
      <x:c r="T90" s="23" t="str">
        <x:v>0</x:v>
      </x:c>
      <x:c r="U90" s="23" t="str">
        <x:v>0</x:v>
      </x:c>
      <x:c r="V90" s="23" t="str">
        <x:v>0</x:v>
      </x:c>
      <x:c r="W90" s="23" t="str">
        <x:v>0</x:v>
      </x:c>
      <x:c r="X90" s="23" t="str">
        <x:v>0</x:v>
      </x:c>
      <x:c r="Y90" s="21" t="str">
        <x:v>eligible_with_study_context</x:v>
      </x:c>
      <x:c r="Z90" s="21" t="str">
        <x:v>complete</x:v>
      </x:c>
      <x:c r="AA90" s="21" t="str">
        <x:v>Source SCR-00460 supplies 14 evidence, 20 metric, and 2 governed tradeoff rows; use gate: eligible_with_study_context.</x:v>
      </x:c>
    </x:row>
    <x:row r="91" ht="42" customHeight="1">
      <x:c r="A91" s="21" t="str">
        <x:v>STC-SINGLETON-SCR-00473</x:v>
      </x:c>
      <x:c r="B91" s="21" t="str">
        <x:v>OISAC_SCR00473</x:v>
      </x:c>
      <x:c r="C91" s="21" t="str">
        <x:v>RPT-SCR-00473-01</x:v>
      </x:c>
      <x:c r="D91" s="21" t="str">
        <x:v>SCR-00473</x:v>
      </x:c>
      <x:c r="E91" s="21" t="str">
        <x:v>OISAC_SCR00473</x:v>
      </x:c>
      <x:c r="F91" s="21" t="str">
        <x:v>\cite{OISAC_SCR00473}</x:v>
      </x:c>
      <x:c r="G91" s="21" t="str">
        <x:v>primary_source</x:v>
      </x:c>
      <x:c r="H91" s="21" t="str">
        <x:v>none</x:v>
      </x:c>
      <x:c r="I91" s="21" t="str">
        <x:v>standalone_primary_report</x:v>
      </x:c>
      <x:c r="J91" s="21" t="str">
        <x:v>High-performance Vibration Sensing Based on Subband Phase-Shift Transform in Integrated Sensing and Communication System</x:v>
      </x:c>
      <x:c r="K91" s="21" t="str">
        <x:v>Zuo Y.; Liu W.; Cheng Y.; Li X.; Luo M.</x:v>
      </x:c>
      <x:c r="L91" s="23" t="str">
        <x:v>2025</x:v>
      </x:c>
      <x:c r="M91" s="21" t="str">
        <x:v>Asia Communications and Photonics Conference, ACP</x:v>
      </x:c>
      <x:c r="N91" s="21" t="str">
        <x:v>10.1109/acp66871.2025.11349802</x:v>
      </x:c>
      <x:c r="O91" s="21" t="str">
        <x:v>https://doi.org/10.1109/acp66871.2025.11349802</x:v>
      </x:c>
      <x:c r="P91" s="21" t="str">
        <x:v>Conference paper</x:v>
      </x:c>
      <x:c r="Q91" s="23" t="str">
        <x:v>12</x:v>
      </x:c>
      <x:c r="R91" s="23" t="str">
        <x:v>15</x:v>
      </x:c>
      <x:c r="S91" s="23" t="str">
        <x:v>1</x:v>
      </x:c>
      <x:c r="T91" s="23" t="str">
        <x:v>0</x:v>
      </x:c>
      <x:c r="U91" s="23" t="str">
        <x:v>0</x:v>
      </x:c>
      <x:c r="V91" s="23" t="str">
        <x:v>0</x:v>
      </x:c>
      <x:c r="W91" s="23" t="str">
        <x:v>0</x:v>
      </x:c>
      <x:c r="X91" s="23" t="str">
        <x:v>0</x:v>
      </x:c>
      <x:c r="Y91" s="21" t="str">
        <x:v>eligible_with_study_context</x:v>
      </x:c>
      <x:c r="Z91" s="21" t="str">
        <x:v>complete</x:v>
      </x:c>
      <x:c r="AA91" s="21" t="str">
        <x:v>Source SCR-00473 supplies 12 evidence, 15 metric, and 1 governed tradeoff rows; use gate: eligible_with_study_context.</x:v>
      </x:c>
    </x:row>
    <x:row r="92" ht="42" customHeight="1">
      <x:c r="A92" s="21" t="str">
        <x:v>STC-SINGLETON-SCR-00488</x:v>
      </x:c>
      <x:c r="B92" s="21" t="str">
        <x:v>OISAC_SCR00488</x:v>
      </x:c>
      <x:c r="C92" s="21" t="str">
        <x:v>RPT-SCR-00488-01</x:v>
      </x:c>
      <x:c r="D92" s="21" t="str">
        <x:v>SCR-00488</x:v>
      </x:c>
      <x:c r="E92" s="21" t="str">
        <x:v>OISAC_SCR00488</x:v>
      </x:c>
      <x:c r="F92" s="21" t="str">
        <x:v>\cite{OISAC_SCR00488}</x:v>
      </x:c>
      <x:c r="G92" s="21" t="str">
        <x:v>primary_source</x:v>
      </x:c>
      <x:c r="H92" s="21" t="str">
        <x:v>none</x:v>
      </x:c>
      <x:c r="I92" s="21" t="str">
        <x:v>standalone_primary_report</x:v>
      </x:c>
      <x:c r="J92" s="21" t="str">
        <x:v>6-DoF Location-and-Pose Estimation Toward Integrated Visible Light Communication and Sensing: Algorithm Design and Performance Limits</x:v>
      </x:c>
      <x:c r="K92" s="21" t="str">
        <x:v>Zhou B.; Wang X.; Shen Y.; Fan P.</x:v>
      </x:c>
      <x:c r="L92" s="23" t="str">
        <x:v>2024</x:v>
      </x:c>
      <x:c r="M92" s="21" t="str">
        <x:v>IEEE Transactions on Signal Processing</x:v>
      </x:c>
      <x:c r="N92" s="21" t="str">
        <x:v>10.1109/tsp.2024.3383285</x:v>
      </x:c>
      <x:c r="O92" s="21" t="str">
        <x:v>https://doi.org/10.1109/tsp.2024.3383285</x:v>
      </x:c>
      <x:c r="P92" s="21" t="str">
        <x:v>Article</x:v>
      </x:c>
      <x:c r="Q92" s="23" t="str">
        <x:v>15</x:v>
      </x:c>
      <x:c r="R92" s="23" t="str">
        <x:v>20</x:v>
      </x:c>
      <x:c r="S92" s="23" t="str">
        <x:v>1</x:v>
      </x:c>
      <x:c r="T92" s="23" t="str">
        <x:v>0</x:v>
      </x:c>
      <x:c r="U92" s="23" t="str">
        <x:v>0</x:v>
      </x:c>
      <x:c r="V92" s="23" t="str">
        <x:v>0</x:v>
      </x:c>
      <x:c r="W92" s="23" t="str">
        <x:v>0</x:v>
      </x:c>
      <x:c r="X92" s="23" t="str">
        <x:v>0</x:v>
      </x:c>
      <x:c r="Y92" s="21" t="str">
        <x:v>eligible_with_study_context</x:v>
      </x:c>
      <x:c r="Z92" s="21" t="str">
        <x:v>complete</x:v>
      </x:c>
      <x:c r="AA92" s="21" t="str">
        <x:v>Source SCR-00488 supplies 15 evidence, 20 metric, and 1 governed tradeoff rows; use gate: eligible_with_study_context.</x:v>
      </x:c>
    </x:row>
    <x:row r="93" ht="42" customHeight="1">
      <x:c r="A93" s="21" t="str">
        <x:v>STC-SINGLETON-SCR-00492</x:v>
      </x:c>
      <x:c r="B93" s="21" t="str">
        <x:v>OISAC_SCR00492</x:v>
      </x:c>
      <x:c r="C93" s="21" t="str">
        <x:v>RPT-SCR-00492-01</x:v>
      </x:c>
      <x:c r="D93" s="21" t="str">
        <x:v>SCR-00492</x:v>
      </x:c>
      <x:c r="E93" s="21" t="str">
        <x:v>OISAC_SCR00492</x:v>
      </x:c>
      <x:c r="F93" s="21" t="str">
        <x:v>\cite{OISAC_SCR00492}</x:v>
      </x:c>
      <x:c r="G93" s="21" t="str">
        <x:v>primary_source</x:v>
      </x:c>
      <x:c r="H93" s="21" t="str">
        <x:v>none</x:v>
      </x:c>
      <x:c r="I93" s="21" t="str">
        <x:v>standalone_primary_report</x:v>
      </x:c>
      <x:c r="J93" s="21" t="str">
        <x:v>Millimeter-wave over fiber integrated sensing and communication system using self-coherent OFDM</x:v>
      </x:c>
      <x:c r="K93" s="21" t="str">
        <x:v>Liu F.; Li P.; Zhong N.; Deng X.; Yan L.; Pan W.; Zou X.</x:v>
      </x:c>
      <x:c r="L93" s="23" t="str">
        <x:v>2024</x:v>
      </x:c>
      <x:c r="M93" s="21" t="str">
        <x:v>Optics Express</x:v>
      </x:c>
      <x:c r="N93" s="21" t="str">
        <x:v>10.1364/oe.513686</x:v>
      </x:c>
      <x:c r="O93" s="21" t="str">
        <x:v>https://doi.org/10.1364/oe.513686</x:v>
      </x:c>
      <x:c r="P93" s="21" t="str">
        <x:v>Article</x:v>
      </x:c>
      <x:c r="Q93" s="23" t="str">
        <x:v>15</x:v>
      </x:c>
      <x:c r="R93" s="23" t="str">
        <x:v>30</x:v>
      </x:c>
      <x:c r="S93" s="23" t="str">
        <x:v>2</x:v>
      </x:c>
      <x:c r="T93" s="23" t="str">
        <x:v>0</x:v>
      </x:c>
      <x:c r="U93" s="23" t="str">
        <x:v>0</x:v>
      </x:c>
      <x:c r="V93" s="23" t="str">
        <x:v>0</x:v>
      </x:c>
      <x:c r="W93" s="23" t="str">
        <x:v>0</x:v>
      </x:c>
      <x:c r="X93" s="23" t="str">
        <x:v>0</x:v>
      </x:c>
      <x:c r="Y93" s="21" t="str">
        <x:v>eligible_with_study_context</x:v>
      </x:c>
      <x:c r="Z93" s="21" t="str">
        <x:v>complete</x:v>
      </x:c>
      <x:c r="AA93" s="21" t="str">
        <x:v>Source SCR-00492 supplies 15 evidence, 30 metric, and 2 governed tradeoff rows; use gate: eligible_with_study_context.</x:v>
      </x:c>
    </x:row>
    <x:row r="94" ht="42" customHeight="1">
      <x:c r="A94" s="21" t="str">
        <x:v>STC-SINGLETON-SCR-00496</x:v>
      </x:c>
      <x:c r="B94" s="21" t="str">
        <x:v>OISAC_SCR00496</x:v>
      </x:c>
      <x:c r="C94" s="21" t="str">
        <x:v>RPT-SCR-00496-01</x:v>
      </x:c>
      <x:c r="D94" s="21" t="str">
        <x:v>SCR-00496</x:v>
      </x:c>
      <x:c r="E94" s="21" t="str">
        <x:v>OISAC_SCR00496</x:v>
      </x:c>
      <x:c r="F94" s="21" t="str">
        <x:v>\cite{OISAC_SCR00496}</x:v>
      </x:c>
      <x:c r="G94" s="21" t="str">
        <x:v>primary_source</x:v>
      </x:c>
      <x:c r="H94" s="21" t="str">
        <x:v>none</x:v>
      </x:c>
      <x:c r="I94" s="21" t="str">
        <x:v>standalone_primary_report</x:v>
      </x:c>
      <x:c r="J94" s="21" t="str">
        <x:v>First Demonstration of FTTR-based RFID Network for Integrated Sensing and Communication</x:v>
      </x:c>
      <x:c r="K94" s="21" t="str">
        <x:v>Zhang S.; Li J.; Zhu J.; Zhang D.; Zeng Y.; Luo Y.</x:v>
      </x:c>
      <x:c r="L94" s="23" t="str">
        <x:v>2025</x:v>
      </x:c>
      <x:c r="M94" s="21" t="str">
        <x:v>Asia Communications and Photonics Conference, ACP</x:v>
      </x:c>
      <x:c r="N94" s="21" t="str">
        <x:v>10.1109/acp66871.2025.11349770</x:v>
      </x:c>
      <x:c r="O94" s="21" t="str">
        <x:v>https://doi.org/10.1109/acp66871.2025.11349770</x:v>
      </x:c>
      <x:c r="P94" s="21" t="str">
        <x:v>Conference paper</x:v>
      </x:c>
      <x:c r="Q94" s="23" t="str">
        <x:v>12</x:v>
      </x:c>
      <x:c r="R94" s="23" t="str">
        <x:v>25</x:v>
      </x:c>
      <x:c r="S94" s="23" t="str">
        <x:v>0</x:v>
      </x:c>
      <x:c r="T94" s="23" t="str">
        <x:v>0</x:v>
      </x:c>
      <x:c r="U94" s="23" t="str">
        <x:v>0</x:v>
      </x:c>
      <x:c r="V94" s="23" t="str">
        <x:v>0</x:v>
      </x:c>
      <x:c r="W94" s="23" t="str">
        <x:v>0</x:v>
      </x:c>
      <x:c r="X94" s="23" t="str">
        <x:v>0</x:v>
      </x:c>
      <x:c r="Y94" s="21" t="str">
        <x:v>eligible_with_study_context</x:v>
      </x:c>
      <x:c r="Z94" s="21" t="str">
        <x:v>complete</x:v>
      </x:c>
      <x:c r="AA94" s="21" t="str">
        <x:v>Source SCR-00496 supplies 12 evidence, 25 metric, and 0 governed tradeoff rows; use gate: eligible_with_study_context.</x:v>
      </x:c>
    </x:row>
    <x:row r="95" ht="42" customHeight="1">
      <x:c r="A95" s="21" t="str">
        <x:v>STC-SINGLETON-SCR-00502</x:v>
      </x:c>
      <x:c r="B95" s="21" t="str">
        <x:v>OISAC_SCR00502</x:v>
      </x:c>
      <x:c r="C95" s="21" t="str">
        <x:v>RPT-SCR-00502-01</x:v>
      </x:c>
      <x:c r="D95" s="21" t="str">
        <x:v>SCR-00502</x:v>
      </x:c>
      <x:c r="E95" s="21" t="str">
        <x:v>OISAC_SCR00502</x:v>
      </x:c>
      <x:c r="F95" s="21" t="str">
        <x:v>\cite{OISAC_SCR00502}</x:v>
      </x:c>
      <x:c r="G95" s="21" t="str">
        <x:v>primary_source</x:v>
      </x:c>
      <x:c r="H95" s="21" t="str">
        <x:v>none</x:v>
      </x:c>
      <x:c r="I95" s="21" t="str">
        <x:v>standalone_primary_report</x:v>
      </x:c>
      <x:c r="J95" s="21" t="str">
        <x:v>Demonstration of radar-aided flexible communication in a photonics-based W-band distributed integrated sensing and communication system for 6G</x:v>
      </x:c>
      <x:c r="K95" s="21" t="str">
        <x:v>Jia J.; Dong B.; Tao L.; Shi J.; Chi N.; Zhang J.</x:v>
      </x:c>
      <x:c r="L95" s="23" t="str">
        <x:v>2024</x:v>
      </x:c>
      <x:c r="M95" s="21" t="str">
        <x:v>Chinese Optics Letters</x:v>
      </x:c>
      <x:c r="N95" s="21" t="str">
        <x:v>10.3788/col202422.043901</x:v>
      </x:c>
      <x:c r="O95" s="21" t="str">
        <x:v>https://doi.org/10.3788/col202422.043901</x:v>
      </x:c>
      <x:c r="P95" s="21" t="str">
        <x:v>Article</x:v>
      </x:c>
      <x:c r="Q95" s="23" t="str">
        <x:v>15</x:v>
      </x:c>
      <x:c r="R95" s="23" t="str">
        <x:v>60</x:v>
      </x:c>
      <x:c r="S95" s="23" t="str">
        <x:v>0</x:v>
      </x:c>
      <x:c r="T95" s="23" t="str">
        <x:v>0</x:v>
      </x:c>
      <x:c r="U95" s="23" t="str">
        <x:v>0</x:v>
      </x:c>
      <x:c r="V95" s="23" t="str">
        <x:v>0</x:v>
      </x:c>
      <x:c r="W95" s="23" t="str">
        <x:v>0</x:v>
      </x:c>
      <x:c r="X95" s="23" t="str">
        <x:v>0</x:v>
      </x:c>
      <x:c r="Y95" s="21" t="str">
        <x:v>eligible_with_study_context</x:v>
      </x:c>
      <x:c r="Z95" s="21" t="str">
        <x:v>complete</x:v>
      </x:c>
      <x:c r="AA95" s="21" t="str">
        <x:v>Source SCR-00502 supplies 15 evidence, 60 metric, and 0 governed tradeoff rows; use gate: eligible_with_study_context.</x:v>
      </x:c>
    </x:row>
    <x:row r="96" ht="42" customHeight="1">
      <x:c r="A96" s="21" t="str">
        <x:v>STC-SINGLETON-SCR-00506</x:v>
      </x:c>
      <x:c r="B96" s="21" t="str">
        <x:v>OISAC_SCR00506</x:v>
      </x:c>
      <x:c r="C96" s="21" t="str">
        <x:v>RPT-SCR-00506-01</x:v>
      </x:c>
      <x:c r="D96" s="21" t="str">
        <x:v>SCR-00506</x:v>
      </x:c>
      <x:c r="E96" s="21" t="str">
        <x:v>OISAC_SCR00506</x:v>
      </x:c>
      <x:c r="F96" s="21" t="str">
        <x:v>\cite{OISAC_SCR00506}</x:v>
      </x:c>
      <x:c r="G96" s="21" t="str">
        <x:v>primary_source</x:v>
      </x:c>
      <x:c r="H96" s="21" t="str">
        <x:v>none</x:v>
      </x:c>
      <x:c r="I96" s="21" t="str">
        <x:v>standalone_primary_report</x:v>
      </x:c>
      <x:c r="J96" s="21" t="str">
        <x:v>Catch Me If You Can: Laser Tethering with Highly Mobile Targets</x:v>
      </x:c>
      <x:c r="K96" s="21" t="str">
        <x:v>Carver C.J.; Schwartz H.; Shao Q.; Shade N.; Lazzaro J.; Wang X.; Liu J.; Fossum E.; Zhou X.</x:v>
      </x:c>
      <x:c r="L96" s="23" t="str">
        <x:v>2024</x:v>
      </x:c>
      <x:c r="M96" s="21" t="str">
        <x:v>Proceedings of the 21st USENIX Symposium on Networked Systems Design and Implementation, NSDI 2024</x:v>
      </x:c>
      <x:c r="N96" s="21" t="str"/>
      <x:c r="O96" s="21" t="str">
        <x:v>https://www.scopus.com/pages/publications/85194168630?origin=resultslist</x:v>
      </x:c>
      <x:c r="P96" s="21" t="str">
        <x:v>Conference paper</x:v>
      </x:c>
      <x:c r="Q96" s="23" t="str">
        <x:v>15</x:v>
      </x:c>
      <x:c r="R96" s="23" t="str">
        <x:v>12</x:v>
      </x:c>
      <x:c r="S96" s="23" t="str">
        <x:v>3</x:v>
      </x:c>
      <x:c r="T96" s="23" t="str">
        <x:v>0</x:v>
      </x:c>
      <x:c r="U96" s="23" t="str">
        <x:v>0</x:v>
      </x:c>
      <x:c r="V96" s="23" t="str">
        <x:v>0</x:v>
      </x:c>
      <x:c r="W96" s="23" t="str">
        <x:v>0</x:v>
      </x:c>
      <x:c r="X96" s="23" t="str">
        <x:v>0</x:v>
      </x:c>
      <x:c r="Y96" s="21" t="str">
        <x:v>eligible_with_study_context</x:v>
      </x:c>
      <x:c r="Z96" s="21" t="str">
        <x:v>complete</x:v>
      </x:c>
      <x:c r="AA96" s="21" t="str">
        <x:v>Source SCR-00506 supplies 15 evidence, 12 metric, and 3 governed tradeoff rows; use gate: eligible_with_study_context.</x:v>
      </x:c>
    </x:row>
    <x:row r="97" ht="42" customHeight="1">
      <x:c r="A97" s="21" t="str">
        <x:v>STC-SINGLETON-SCR-00527</x:v>
      </x:c>
      <x:c r="B97" s="21" t="str">
        <x:v>OISAC_SCR00527</x:v>
      </x:c>
      <x:c r="C97" s="21" t="str">
        <x:v>RPT-SCR-00527-01</x:v>
      </x:c>
      <x:c r="D97" s="21" t="str">
        <x:v>SCR-00527</x:v>
      </x:c>
      <x:c r="E97" s="21" t="str">
        <x:v>OISAC_SCR00527</x:v>
      </x:c>
      <x:c r="F97" s="21" t="str">
        <x:v>\cite{OISAC_SCR00527}</x:v>
      </x:c>
      <x:c r="G97" s="21" t="str">
        <x:v>primary_source</x:v>
      </x:c>
      <x:c r="H97" s="21" t="str">
        <x:v>none</x:v>
      </x:c>
      <x:c r="I97" s="21" t="str">
        <x:v>standalone_primary_report</x:v>
      </x:c>
      <x:c r="J97" s="21" t="str">
        <x:v>Joint Visible Light Sensing and Communication Using m-CAP Modulation</x:v>
      </x:c>
      <x:c r="K97" s="21" t="str">
        <x:v>Shi L.; Bechadergue B.; Chassagne L.; Guan H.</x:v>
      </x:c>
      <x:c r="L97" s="23" t="str">
        <x:v>2023</x:v>
      </x:c>
      <x:c r="M97" s="21" t="str">
        <x:v>IEEE Transactions on Broadcasting</x:v>
      </x:c>
      <x:c r="N97" s="21" t="str">
        <x:v>10.1109/tbc.2022.3201649</x:v>
      </x:c>
      <x:c r="O97" s="21" t="str">
        <x:v>https://doi.org/10.1109/tbc.2022.3201649</x:v>
      </x:c>
      <x:c r="P97" s="21" t="str">
        <x:v>Article</x:v>
      </x:c>
      <x:c r="Q97" s="23" t="str">
        <x:v>14</x:v>
      </x:c>
      <x:c r="R97" s="23" t="str">
        <x:v>9</x:v>
      </x:c>
      <x:c r="S97" s="23" t="str">
        <x:v>4</x:v>
      </x:c>
      <x:c r="T97" s="23" t="str">
        <x:v>0</x:v>
      </x:c>
      <x:c r="U97" s="23" t="str">
        <x:v>0</x:v>
      </x:c>
      <x:c r="V97" s="23" t="str">
        <x:v>0</x:v>
      </x:c>
      <x:c r="W97" s="23" t="str">
        <x:v>0</x:v>
      </x:c>
      <x:c r="X97" s="23" t="str">
        <x:v>0</x:v>
      </x:c>
      <x:c r="Y97" s="21" t="str">
        <x:v>eligible_with_study_context</x:v>
      </x:c>
      <x:c r="Z97" s="21" t="str">
        <x:v>complete</x:v>
      </x:c>
      <x:c r="AA97" s="21" t="str">
        <x:v>Source SCR-00527 supplies 14 evidence, 9 metric, and 4 governed tradeoff rows; use gate: eligible_with_study_context.</x:v>
      </x:c>
    </x:row>
    <x:row r="98" ht="42" customHeight="1">
      <x:c r="A98" s="21" t="str">
        <x:v>STC-SINGLETON-SCR-00557</x:v>
      </x:c>
      <x:c r="B98" s="21" t="str">
        <x:v>OISAC_SCR00557</x:v>
      </x:c>
      <x:c r="C98" s="21" t="str">
        <x:v>RPT-SCR-00557-01</x:v>
      </x:c>
      <x:c r="D98" s="21" t="str">
        <x:v>SCR-00557</x:v>
      </x:c>
      <x:c r="E98" s="21" t="str">
        <x:v>OISAC_SCR00557</x:v>
      </x:c>
      <x:c r="F98" s="21" t="str">
        <x:v>\cite{OISAC_SCR00557}</x:v>
      </x:c>
      <x:c r="G98" s="21" t="str">
        <x:v>primary_source</x:v>
      </x:c>
      <x:c r="H98" s="21" t="str">
        <x:v>none</x:v>
      </x:c>
      <x:c r="I98" s="21" t="str">
        <x:v>standalone_primary_report</x:v>
      </x:c>
      <x:c r="J98" s="21" t="str">
        <x:v>Visible Light Communication-Enabled Simultaneous Position and Orientation Detection for Harnessing Multipath Interference and Random Fading</x:v>
      </x:c>
      <x:c r="K98" s="21" t="str">
        <x:v>Zhou B.; Liu A.; So H.C.</x:v>
      </x:c>
      <x:c r="L98" s="23" t="str">
        <x:v>2024</x:v>
      </x:c>
      <x:c r="M98" s="21" t="str">
        <x:v>IEEE Transactions on Intelligent Transportation Systems</x:v>
      </x:c>
      <x:c r="N98" s="21" t="str">
        <x:v>10.1109/tits.2023.3324361</x:v>
      </x:c>
      <x:c r="O98" s="21" t="str">
        <x:v>https://doi.org/10.1109/tits.2023.3324361</x:v>
      </x:c>
      <x:c r="P98" s="21" t="str">
        <x:v>Article</x:v>
      </x:c>
      <x:c r="Q98" s="23" t="str">
        <x:v>15</x:v>
      </x:c>
      <x:c r="R98" s="23" t="str">
        <x:v>8</x:v>
      </x:c>
      <x:c r="S98" s="23" t="str">
        <x:v>0</x:v>
      </x:c>
      <x:c r="T98" s="23" t="str">
        <x:v>0</x:v>
      </x:c>
      <x:c r="U98" s="23" t="str">
        <x:v>0</x:v>
      </x:c>
      <x:c r="V98" s="23" t="str">
        <x:v>0</x:v>
      </x:c>
      <x:c r="W98" s="23" t="str">
        <x:v>0</x:v>
      </x:c>
      <x:c r="X98" s="23" t="str">
        <x:v>0</x:v>
      </x:c>
      <x:c r="Y98" s="21" t="str">
        <x:v>eligible_with_study_context</x:v>
      </x:c>
      <x:c r="Z98" s="21" t="str">
        <x:v>complete</x:v>
      </x:c>
      <x:c r="AA98" s="21" t="str">
        <x:v>Source SCR-00557 supplies 15 evidence, 8 metric, and 0 governed tradeoff rows; use gate: eligible_with_study_context.</x:v>
      </x:c>
    </x:row>
    <x:row r="99" ht="42" customHeight="1">
      <x:c r="A99" s="21" t="str">
        <x:v>STC-SINGLETON-SCR-00576</x:v>
      </x:c>
      <x:c r="B99" s="21" t="str">
        <x:v>OISAC_SCR00576</x:v>
      </x:c>
      <x:c r="C99" s="21" t="str">
        <x:v>RPT-SCR-00576-01</x:v>
      </x:c>
      <x:c r="D99" s="21" t="str">
        <x:v>SCR-00576</x:v>
      </x:c>
      <x:c r="E99" s="21" t="str">
        <x:v>OISAC_SCR00576</x:v>
      </x:c>
      <x:c r="F99" s="21" t="str">
        <x:v>\cite{OISAC_SCR00576}</x:v>
      </x:c>
      <x:c r="G99" s="21" t="str">
        <x:v>primary_source</x:v>
      </x:c>
      <x:c r="H99" s="21" t="str">
        <x:v>none</x:v>
      </x:c>
      <x:c r="I99" s="21" t="str">
        <x:v>standalone_primary_report</x:v>
      </x:c>
      <x:c r="J99" s="21" t="str">
        <x:v>Remote Phase-Shift LiDAR With Communication</x:v>
      </x:c>
      <x:c r="K99" s="21" t="str">
        <x:v>Hai Y.; Luo Y.; Liu C.; Dang A.</x:v>
      </x:c>
      <x:c r="L99" s="23" t="str">
        <x:v>2023</x:v>
      </x:c>
      <x:c r="M99" s="21" t="str">
        <x:v>IEEE Transactions on Communications</x:v>
      </x:c>
      <x:c r="N99" s="21" t="str">
        <x:v>10.1109/tcomm.2023.3233962</x:v>
      </x:c>
      <x:c r="O99" s="21" t="str">
        <x:v>https://doi.org/10.1109/tcomm.2023.3233962</x:v>
      </x:c>
      <x:c r="P99" s="21" t="str">
        <x:v>Article</x:v>
      </x:c>
      <x:c r="Q99" s="23" t="str">
        <x:v>16</x:v>
      </x:c>
      <x:c r="R99" s="23" t="str">
        <x:v>14</x:v>
      </x:c>
      <x:c r="S99" s="23" t="str">
        <x:v>4</x:v>
      </x:c>
      <x:c r="T99" s="23" t="str">
        <x:v>0</x:v>
      </x:c>
      <x:c r="U99" s="23" t="str">
        <x:v>0</x:v>
      </x:c>
      <x:c r="V99" s="23" t="str">
        <x:v>0</x:v>
      </x:c>
      <x:c r="W99" s="23" t="str">
        <x:v>0</x:v>
      </x:c>
      <x:c r="X99" s="23" t="str">
        <x:v>0</x:v>
      </x:c>
      <x:c r="Y99" s="21" t="str">
        <x:v>eligible_with_study_context</x:v>
      </x:c>
      <x:c r="Z99" s="21" t="str">
        <x:v>complete</x:v>
      </x:c>
      <x:c r="AA99" s="21" t="str">
        <x:v>Source SCR-00576 supplies 16 evidence, 14 metric, and 4 governed tradeoff rows; use gate: eligible_with_study_context.</x:v>
      </x:c>
    </x:row>
    <x:row r="100" ht="42" customHeight="1">
      <x:c r="A100" s="21" t="str">
        <x:v>STC-SINGLETON-SCR-00589</x:v>
      </x:c>
      <x:c r="B100" s="21" t="str">
        <x:v>OISAC_SCR00589</x:v>
      </x:c>
      <x:c r="C100" s="21" t="str">
        <x:v>RPT-SCR-00589-01</x:v>
      </x:c>
      <x:c r="D100" s="21" t="str">
        <x:v>SCR-00589</x:v>
      </x:c>
      <x:c r="E100" s="21" t="str">
        <x:v>OISAC_SCR00589</x:v>
      </x:c>
      <x:c r="F100" s="21" t="str">
        <x:v>\cite{OISAC_SCR00589}</x:v>
      </x:c>
      <x:c r="G100" s="21" t="str">
        <x:v>primary_source</x:v>
      </x:c>
      <x:c r="H100" s="21" t="str">
        <x:v>none</x:v>
      </x:c>
      <x:c r="I100" s="21" t="str">
        <x:v>standalone_primary_report</x:v>
      </x:c>
      <x:c r="J100" s="21" t="str">
        <x:v>Deep Integration Between Polarimetric Forward-Transmission Fiber-Optic Communication and Distributed Sensing Systems</x:v>
      </x:c>
      <x:c r="K100" s="21" t="str">
        <x:v>Chen G.Y.; Chen M.; Rao X.; Dai S.; Zhu R.; Liu G.; Lu J.; Liu H.; Wang Y.</x:v>
      </x:c>
      <x:c r="L100" s="23" t="str">
        <x:v>2024</x:v>
      </x:c>
      <x:c r="M100" s="21" t="str">
        <x:v>Sensors</x:v>
      </x:c>
      <x:c r="N100" s="21" t="str">
        <x:v>10.3390/s24216778</x:v>
      </x:c>
      <x:c r="O100" s="21" t="str">
        <x:v>https://doi.org/10.3390/s24216778</x:v>
      </x:c>
      <x:c r="P100" s="21" t="str">
        <x:v>Article</x:v>
      </x:c>
      <x:c r="Q100" s="23" t="str">
        <x:v>15</x:v>
      </x:c>
      <x:c r="R100" s="23" t="str">
        <x:v>28</x:v>
      </x:c>
      <x:c r="S100" s="23" t="str">
        <x:v>2</x:v>
      </x:c>
      <x:c r="T100" s="23" t="str">
        <x:v>0</x:v>
      </x:c>
      <x:c r="U100" s="23" t="str">
        <x:v>0</x:v>
      </x:c>
      <x:c r="V100" s="23" t="str">
        <x:v>0</x:v>
      </x:c>
      <x:c r="W100" s="23" t="str">
        <x:v>0</x:v>
      </x:c>
      <x:c r="X100" s="23" t="str">
        <x:v>0</x:v>
      </x:c>
      <x:c r="Y100" s="21" t="str">
        <x:v>eligible_with_study_context</x:v>
      </x:c>
      <x:c r="Z100" s="21" t="str">
        <x:v>complete</x:v>
      </x:c>
      <x:c r="AA100" s="21" t="str">
        <x:v>Source SCR-00589 supplies 15 evidence, 28 metric, and 2 governed tradeoff rows; use gate: eligible_with_study_context.</x:v>
      </x:c>
    </x:row>
    <x:row r="101" ht="42" customHeight="1">
      <x:c r="A101" s="21" t="str">
        <x:v>STC-SINGLETON-SCR-00594</x:v>
      </x:c>
      <x:c r="B101" s="21" t="str">
        <x:v>OISAC_SCR00594</x:v>
      </x:c>
      <x:c r="C101" s="21" t="str">
        <x:v>RPT-SCR-00594-01</x:v>
      </x:c>
      <x:c r="D101" s="21" t="str">
        <x:v>SCR-00594</x:v>
      </x:c>
      <x:c r="E101" s="21" t="str">
        <x:v>OISAC_SCR00594</x:v>
      </x:c>
      <x:c r="F101" s="21" t="str">
        <x:v>\cite{OISAC_SCR00594}</x:v>
      </x:c>
      <x:c r="G101" s="21" t="str">
        <x:v>primary_source</x:v>
      </x:c>
      <x:c r="H101" s="21" t="str">
        <x:v>none</x:v>
      </x:c>
      <x:c r="I101" s="21" t="str">
        <x:v>standalone_primary_report</x:v>
      </x:c>
      <x:c r="J101" s="21" t="str">
        <x:v>Wide-Steering Integrated Sensing and Communication OPA-Based Lidar Design with Joint Waveform and Thinned Antenna</x:v>
      </x:c>
      <x:c r="K101" s="21" t="str">
        <x:v>Chen Y.; Liao X.; Xiao J.; Wang X.; Ye M.; Yu Y.; Wang C.</x:v>
      </x:c>
      <x:c r="L101" s="23" t="str">
        <x:v>2025</x:v>
      </x:c>
      <x:c r="M101" s="21" t="str">
        <x:v>Opto-Electronics and Communications Conference, OECC</x:v>
      </x:c>
      <x:c r="N101" s="21" t="str">
        <x:v>10.23919/oecc/psc62146.2025.11111436</x:v>
      </x:c>
      <x:c r="O101" s="21" t="str">
        <x:v>https://doi.org/10.23919/oecc/psc62146.2025.11111436</x:v>
      </x:c>
      <x:c r="P101" s="21" t="str">
        <x:v>Conference paper</x:v>
      </x:c>
      <x:c r="Q101" s="23" t="str">
        <x:v>13</x:v>
      </x:c>
      <x:c r="R101" s="23" t="str">
        <x:v>20</x:v>
      </x:c>
      <x:c r="S101" s="23" t="str">
        <x:v>0</x:v>
      </x:c>
      <x:c r="T101" s="23" t="str">
        <x:v>0</x:v>
      </x:c>
      <x:c r="U101" s="23" t="str">
        <x:v>0</x:v>
      </x:c>
      <x:c r="V101" s="23" t="str">
        <x:v>0</x:v>
      </x:c>
      <x:c r="W101" s="23" t="str">
        <x:v>0</x:v>
      </x:c>
      <x:c r="X101" s="23" t="str">
        <x:v>0</x:v>
      </x:c>
      <x:c r="Y101" s="21" t="str">
        <x:v>eligible_with_study_context</x:v>
      </x:c>
      <x:c r="Z101" s="21" t="str">
        <x:v>complete</x:v>
      </x:c>
      <x:c r="AA101" s="21" t="str">
        <x:v>Source SCR-00594 supplies 13 evidence, 20 metric, and 0 governed tradeoff rows; use gate: eligible_with_study_context.</x:v>
      </x:c>
    </x:row>
    <x:row r="102" ht="42" customHeight="1">
      <x:c r="A102" s="21" t="str">
        <x:v>STC-SINGLETON-SCR-00602</x:v>
      </x:c>
      <x:c r="B102" s="21" t="str">
        <x:v>OISAC_SCR00602</x:v>
      </x:c>
      <x:c r="C102" s="21" t="str">
        <x:v>RPT-SCR-00602-01</x:v>
      </x:c>
      <x:c r="D102" s="21" t="str">
        <x:v>SCR-00602</x:v>
      </x:c>
      <x:c r="E102" s="21" t="str">
        <x:v>OISAC_SCR00602</x:v>
      </x:c>
      <x:c r="F102" s="21" t="str">
        <x:v>\cite{OISAC_SCR00602}</x:v>
      </x:c>
      <x:c r="G102" s="21" t="str">
        <x:v>primary_source</x:v>
      </x:c>
      <x:c r="H102" s="21" t="str">
        <x:v>none</x:v>
      </x:c>
      <x:c r="I102" s="21" t="str">
        <x:v>standalone_primary_report</x:v>
      </x:c>
      <x:c r="J102" s="21" t="str">
        <x:v>Photonics-assisted self-interference cancellation for in-band full-duplex integrated sensing and communication transceiver</x:v>
      </x:c>
      <x:c r="K102" s="21" t="str">
        <x:v>Yu X.; Ye J.; Yan L.; Zhou T.; Zhong N.; Zhu Y.; Zou X.; Pan W.</x:v>
      </x:c>
      <x:c r="L102" s="23" t="str">
        <x:v>2024</x:v>
      </x:c>
      <x:c r="M102" s="21" t="str">
        <x:v>Optics Express</x:v>
      </x:c>
      <x:c r="N102" s="21" t="str">
        <x:v>10.1364/oe.541229</x:v>
      </x:c>
      <x:c r="O102" s="21" t="str">
        <x:v>https://doi.org/10.1364/oe.541229</x:v>
      </x:c>
      <x:c r="P102" s="21" t="str">
        <x:v>Article</x:v>
      </x:c>
      <x:c r="Q102" s="23" t="str">
        <x:v>17</x:v>
      </x:c>
      <x:c r="R102" s="23" t="str">
        <x:v>27</x:v>
      </x:c>
      <x:c r="S102" s="23" t="str">
        <x:v>1</x:v>
      </x:c>
      <x:c r="T102" s="23" t="str">
        <x:v>0</x:v>
      </x:c>
      <x:c r="U102" s="23" t="str">
        <x:v>0</x:v>
      </x:c>
      <x:c r="V102" s="23" t="str">
        <x:v>0</x:v>
      </x:c>
      <x:c r="W102" s="23" t="str">
        <x:v>0</x:v>
      </x:c>
      <x:c r="X102" s="23" t="str">
        <x:v>0</x:v>
      </x:c>
      <x:c r="Y102" s="21" t="str">
        <x:v>eligible_with_study_context</x:v>
      </x:c>
      <x:c r="Z102" s="21" t="str">
        <x:v>complete</x:v>
      </x:c>
      <x:c r="AA102" s="21" t="str">
        <x:v>Source SCR-00602 supplies 17 evidence, 27 metric, and 1 governed tradeoff rows; use gate: eligible_with_study_context.</x:v>
      </x:c>
    </x:row>
    <x:row r="103" ht="42" customHeight="1">
      <x:c r="A103" s="21" t="str">
        <x:v>STC-SINGLETON-SCR-00607</x:v>
      </x:c>
      <x:c r="B103" s="21" t="str">
        <x:v>OISAC_SCR00607</x:v>
      </x:c>
      <x:c r="C103" s="21" t="str">
        <x:v>RPT-SCR-00607-01</x:v>
      </x:c>
      <x:c r="D103" s="21" t="str">
        <x:v>SCR-00607</x:v>
      </x:c>
      <x:c r="E103" s="21" t="str">
        <x:v>OISAC_SCR00607</x:v>
      </x:c>
      <x:c r="F103" s="21" t="str">
        <x:v>\cite{OISAC_SCR00607}</x:v>
      </x:c>
      <x:c r="G103" s="21" t="str">
        <x:v>primary_source</x:v>
      </x:c>
      <x:c r="H103" s="21" t="str">
        <x:v>none</x:v>
      </x:c>
      <x:c r="I103" s="21" t="str">
        <x:v>standalone_primary_report</x:v>
      </x:c>
      <x:c r="J103" s="21" t="str">
        <x:v>Integrated Distributed Sensing and Quantum Communication Networks</x:v>
      </x:c>
      <x:c r="K103" s="21" t="str">
        <x:v>Xu Y.; Wang T.; Huang P.; Zeng G.</x:v>
      </x:c>
      <x:c r="L103" s="23" t="str">
        <x:v>2024</x:v>
      </x:c>
      <x:c r="M103" s="21" t="str">
        <x:v>Research</x:v>
      </x:c>
      <x:c r="N103" s="21" t="str">
        <x:v>10.34133/research.0416</x:v>
      </x:c>
      <x:c r="O103" s="21" t="str">
        <x:v>https://doi.org/10.34133/research.0416</x:v>
      </x:c>
      <x:c r="P103" s="21" t="str">
        <x:v>Article</x:v>
      </x:c>
      <x:c r="Q103" s="23" t="str">
        <x:v>14</x:v>
      </x:c>
      <x:c r="R103" s="23" t="str">
        <x:v>22</x:v>
      </x:c>
      <x:c r="S103" s="23" t="str">
        <x:v>1</x:v>
      </x:c>
      <x:c r="T103" s="23" t="str">
        <x:v>0</x:v>
      </x:c>
      <x:c r="U103" s="23" t="str">
        <x:v>0</x:v>
      </x:c>
      <x:c r="V103" s="23" t="str">
        <x:v>0</x:v>
      </x:c>
      <x:c r="W103" s="23" t="str">
        <x:v>0</x:v>
      </x:c>
      <x:c r="X103" s="23" t="str">
        <x:v>0</x:v>
      </x:c>
      <x:c r="Y103" s="21" t="str">
        <x:v>eligible_with_study_context</x:v>
      </x:c>
      <x:c r="Z103" s="21" t="str">
        <x:v>complete</x:v>
      </x:c>
      <x:c r="AA103" s="21" t="str">
        <x:v>Source SCR-00607 supplies 14 evidence, 22 metric, and 1 governed tradeoff rows; use gate: eligible_with_study_context.</x:v>
      </x:c>
    </x:row>
    <x:row r="104" ht="42" customHeight="1">
      <x:c r="A104" s="21" t="str">
        <x:v>STC-SINGLETON-SCR-00626</x:v>
      </x:c>
      <x:c r="B104" s="21" t="str">
        <x:v>OISAC_SCR00626</x:v>
      </x:c>
      <x:c r="C104" s="21" t="str">
        <x:v>RPT-SCR-00626-01</x:v>
      </x:c>
      <x:c r="D104" s="21" t="str">
        <x:v>SCR-00626</x:v>
      </x:c>
      <x:c r="E104" s="21" t="str">
        <x:v>OISAC_SCR00626</x:v>
      </x:c>
      <x:c r="F104" s="21" t="str">
        <x:v>\cite{OISAC_SCR00626}</x:v>
      </x:c>
      <x:c r="G104" s="21" t="str">
        <x:v>primary_source</x:v>
      </x:c>
      <x:c r="H104" s="21" t="str">
        <x:v>none</x:v>
      </x:c>
      <x:c r="I104" s="21" t="str">
        <x:v>standalone_primary_report</x:v>
      </x:c>
      <x:c r="J104" s="21" t="str">
        <x:v>Learned Digital Back-Propagation for an optical-domain waveform integrated with communication and sensing</x:v>
      </x:c>
      <x:c r="K104" s="21" t="str">
        <x:v>Chen Z.; Xin P.; Zhan P.; Zheng M.; Sun Y.; Li C.; Meng P.; Li Y.; Zhao Y.</x:v>
      </x:c>
      <x:c r="L104" s="23" t="str">
        <x:v>2023</x:v>
      </x:c>
      <x:c r="M104" s="21" t="str">
        <x:v>ACM International Conference Proceeding Series</x:v>
      </x:c>
      <x:c r="N104" s="21" t="str">
        <x:v>10.1145/3638782.3638830</x:v>
      </x:c>
      <x:c r="O104" s="21" t="str">
        <x:v>https://doi.org/10.1145/3638782.3638830</x:v>
      </x:c>
      <x:c r="P104" s="21" t="str">
        <x:v>Conference paper</x:v>
      </x:c>
      <x:c r="Q104" s="23" t="str">
        <x:v>14</x:v>
      </x:c>
      <x:c r="R104" s="23" t="str">
        <x:v>26</x:v>
      </x:c>
      <x:c r="S104" s="23" t="str">
        <x:v>1</x:v>
      </x:c>
      <x:c r="T104" s="23" t="str">
        <x:v>0</x:v>
      </x:c>
      <x:c r="U104" s="23" t="str">
        <x:v>0</x:v>
      </x:c>
      <x:c r="V104" s="23" t="str">
        <x:v>0</x:v>
      </x:c>
      <x:c r="W104" s="23" t="str">
        <x:v>0</x:v>
      </x:c>
      <x:c r="X104" s="23" t="str">
        <x:v>0</x:v>
      </x:c>
      <x:c r="Y104" s="21" t="str">
        <x:v>eligible_with_study_context</x:v>
      </x:c>
      <x:c r="Z104" s="21" t="str">
        <x:v>complete</x:v>
      </x:c>
      <x:c r="AA104" s="21" t="str">
        <x:v>Source SCR-00626 supplies 14 evidence, 26 metric, and 1 governed tradeoff rows; use gate: eligible_with_study_context.</x:v>
      </x:c>
    </x:row>
    <x:row r="105" ht="42" customHeight="1">
      <x:c r="A105" s="21" t="str">
        <x:v>STC-SINGLETON-SCR-00631</x:v>
      </x:c>
      <x:c r="B105" s="21" t="str">
        <x:v>OISAC_SCR00631</x:v>
      </x:c>
      <x:c r="C105" s="21" t="str">
        <x:v>RPT-SCR-00631-01</x:v>
      </x:c>
      <x:c r="D105" s="21" t="str">
        <x:v>SCR-00631</x:v>
      </x:c>
      <x:c r="E105" s="21" t="str">
        <x:v>OISAC_SCR00631</x:v>
      </x:c>
      <x:c r="F105" s="21" t="str">
        <x:v>\cite{OISAC_SCR00631}</x:v>
      </x:c>
      <x:c r="G105" s="21" t="str">
        <x:v>primary_source</x:v>
      </x:c>
      <x:c r="H105" s="21" t="str">
        <x:v>none</x:v>
      </x:c>
      <x:c r="I105" s="21" t="str">
        <x:v>standalone_primary_report</x:v>
      </x:c>
      <x:c r="J105" s="21" t="str">
        <x:v>Integration of endogenous sensing and communication based on photonics-enabled cellular base station networks with a spectrum fusion algorithm</x:v>
      </x:c>
      <x:c r="K105" s="21" t="str">
        <x:v>Zhao Y.; Wan J.; Xu S.; Zou W.</x:v>
      </x:c>
      <x:c r="L105" s="23" t="str">
        <x:v>2024</x:v>
      </x:c>
      <x:c r="M105" s="21" t="str">
        <x:v>Optics Express</x:v>
      </x:c>
      <x:c r="N105" s="21" t="str">
        <x:v>10.1364/oe.533917</x:v>
      </x:c>
      <x:c r="O105" s="21" t="str">
        <x:v>https://doi.org/10.1364/oe.533917</x:v>
      </x:c>
      <x:c r="P105" s="21" t="str">
        <x:v>Article</x:v>
      </x:c>
      <x:c r="Q105" s="23" t="str">
        <x:v>19</x:v>
      </x:c>
      <x:c r="R105" s="23" t="str">
        <x:v>57</x:v>
      </x:c>
      <x:c r="S105" s="23" t="str">
        <x:v>2</x:v>
      </x:c>
      <x:c r="T105" s="23" t="str">
        <x:v>0</x:v>
      </x:c>
      <x:c r="U105" s="23" t="str">
        <x:v>0</x:v>
      </x:c>
      <x:c r="V105" s="23" t="str">
        <x:v>0</x:v>
      </x:c>
      <x:c r="W105" s="23" t="str">
        <x:v>0</x:v>
      </x:c>
      <x:c r="X105" s="23" t="str">
        <x:v>0</x:v>
      </x:c>
      <x:c r="Y105" s="21" t="str">
        <x:v>eligible_with_study_context</x:v>
      </x:c>
      <x:c r="Z105" s="21" t="str">
        <x:v>complete</x:v>
      </x:c>
      <x:c r="AA105" s="21" t="str">
        <x:v>Source SCR-00631 supplies 19 evidence, 57 metric, and 2 governed tradeoff rows; use gate: eligible_with_study_context.</x:v>
      </x:c>
    </x:row>
    <x:row r="106" ht="42" customHeight="1">
      <x:c r="A106" s="21" t="str">
        <x:v>STC-SINGLETON-SCR-00647</x:v>
      </x:c>
      <x:c r="B106" s="21" t="str">
        <x:v>OISAC_SCR00647</x:v>
      </x:c>
      <x:c r="C106" s="21" t="str">
        <x:v>RPT-SCR-00647-01</x:v>
      </x:c>
      <x:c r="D106" s="21" t="str">
        <x:v>SCR-00647</x:v>
      </x:c>
      <x:c r="E106" s="21" t="str">
        <x:v>OISAC_SCR00647</x:v>
      </x:c>
      <x:c r="F106" s="21" t="str">
        <x:v>\cite{OISAC_SCR00647}</x:v>
      </x:c>
      <x:c r="G106" s="21" t="str">
        <x:v>primary_source</x:v>
      </x:c>
      <x:c r="H106" s="21" t="str">
        <x:v>none</x:v>
      </x:c>
      <x:c r="I106" s="21" t="str">
        <x:v>standalone_primary_report</x:v>
      </x:c>
      <x:c r="J106" s="21" t="str">
        <x:v>Integrated sensing and communication in an optical fibre</x:v>
      </x:c>
      <x:c r="K106" s="21" t="str">
        <x:v>He H.; Jiang L.; Pan Y.; Yi A.; Zou X.; Pan W.; Willner A.E.; Fan X.; He Z.; Yan L.</x:v>
      </x:c>
      <x:c r="L106" s="23" t="str">
        <x:v>2023</x:v>
      </x:c>
      <x:c r="M106" s="21" t="str">
        <x:v>Light: Science and Applications</x:v>
      </x:c>
      <x:c r="N106" s="21" t="str">
        <x:v>10.1038/s41377-022-01067-1</x:v>
      </x:c>
      <x:c r="O106" s="21" t="str">
        <x:v>https://doi.org/10.1038/s41377-022-01067-1</x:v>
      </x:c>
      <x:c r="P106" s="21" t="str">
        <x:v>Article</x:v>
      </x:c>
      <x:c r="Q106" s="23" t="str">
        <x:v>18</x:v>
      </x:c>
      <x:c r="R106" s="23" t="str">
        <x:v>56</x:v>
      </x:c>
      <x:c r="S106" s="23" t="str">
        <x:v>3</x:v>
      </x:c>
      <x:c r="T106" s="23" t="str">
        <x:v>0</x:v>
      </x:c>
      <x:c r="U106" s="23" t="str">
        <x:v>0</x:v>
      </x:c>
      <x:c r="V106" s="23" t="str">
        <x:v>0</x:v>
      </x:c>
      <x:c r="W106" s="23" t="str">
        <x:v>0</x:v>
      </x:c>
      <x:c r="X106" s="23" t="str">
        <x:v>0</x:v>
      </x:c>
      <x:c r="Y106" s="21" t="str">
        <x:v>eligible_with_study_context</x:v>
      </x:c>
      <x:c r="Z106" s="21" t="str">
        <x:v>complete</x:v>
      </x:c>
      <x:c r="AA106" s="21" t="str">
        <x:v>Source SCR-00647 supplies 18 evidence, 56 metric, and 3 governed tradeoff rows; use gate: eligible_with_study_context.</x:v>
      </x:c>
    </x:row>
    <x:row r="107" ht="42" customHeight="1">
      <x:c r="A107" s="21" t="str">
        <x:v>STC-SINGLETON-SCR-00665</x:v>
      </x:c>
      <x:c r="B107" s="21" t="str">
        <x:v>OISAC_SCR00665</x:v>
      </x:c>
      <x:c r="C107" s="21" t="str">
        <x:v>RPT-SCR-00665-01</x:v>
      </x:c>
      <x:c r="D107" s="21" t="str">
        <x:v>SCR-00665</x:v>
      </x:c>
      <x:c r="E107" s="21" t="str">
        <x:v>OISAC_SCR00665</x:v>
      </x:c>
      <x:c r="F107" s="21" t="str">
        <x:v>\cite{OISAC_SCR00665}</x:v>
      </x:c>
      <x:c r="G107" s="21" t="str">
        <x:v>primary_source</x:v>
      </x:c>
      <x:c r="H107" s="21" t="str">
        <x:v>none</x:v>
      </x:c>
      <x:c r="I107" s="21" t="str">
        <x:v>standalone_primary_report</x:v>
      </x:c>
      <x:c r="J107" s="21" t="str">
        <x:v>Flexible Vibration Sensing Using Kalman Smoother Integrated in ECL-Based Communication Systems</x:v>
      </x:c>
      <x:c r="K107" s="21" t="str">
        <x:v>Yang B.; Tang J.; Gao S.; Liang J.; Wei J.; Yang Y.</x:v>
      </x:c>
      <x:c r="L107" s="23" t="str">
        <x:v>2025</x:v>
      </x:c>
      <x:c r="M107" s="21" t="str">
        <x:v>IEEE Photonics Technology Letters</x:v>
      </x:c>
      <x:c r="N107" s="21" t="str">
        <x:v>10.1109/lpt.2025.3577173</x:v>
      </x:c>
      <x:c r="O107" s="21" t="str">
        <x:v>https://doi.org/10.1109/lpt.2025.3577173</x:v>
      </x:c>
      <x:c r="P107" s="21" t="str">
        <x:v>Article</x:v>
      </x:c>
      <x:c r="Q107" s="23" t="str">
        <x:v>14</x:v>
      </x:c>
      <x:c r="R107" s="23" t="str">
        <x:v>28</x:v>
      </x:c>
      <x:c r="S107" s="23" t="str">
        <x:v>1</x:v>
      </x:c>
      <x:c r="T107" s="23" t="str">
        <x:v>0</x:v>
      </x:c>
      <x:c r="U107" s="23" t="str">
        <x:v>0</x:v>
      </x:c>
      <x:c r="V107" s="23" t="str">
        <x:v>0</x:v>
      </x:c>
      <x:c r="W107" s="23" t="str">
        <x:v>0</x:v>
      </x:c>
      <x:c r="X107" s="23" t="str">
        <x:v>0</x:v>
      </x:c>
      <x:c r="Y107" s="21" t="str">
        <x:v>eligible_with_study_context</x:v>
      </x:c>
      <x:c r="Z107" s="21" t="str">
        <x:v>complete</x:v>
      </x:c>
      <x:c r="AA107" s="21" t="str">
        <x:v>Source SCR-00665 supplies 14 evidence, 28 metric, and 1 governed tradeoff rows; use gate: eligible_with_study_context.</x:v>
      </x:c>
    </x:row>
    <x:row r="108" ht="42" customHeight="1">
      <x:c r="A108" s="21" t="str">
        <x:v>STC-SINGLETON-SCR-00679</x:v>
      </x:c>
      <x:c r="B108" s="21" t="str">
        <x:v>OISAC_SCR00679</x:v>
      </x:c>
      <x:c r="C108" s="21" t="str">
        <x:v>RPT-SCR-00679-01</x:v>
      </x:c>
      <x:c r="D108" s="21" t="str">
        <x:v>SCR-00679</x:v>
      </x:c>
      <x:c r="E108" s="21" t="str">
        <x:v>OISAC_SCR00679</x:v>
      </x:c>
      <x:c r="F108" s="21" t="str">
        <x:v>\cite{OISAC_SCR00679}</x:v>
      </x:c>
      <x:c r="G108" s="21" t="str">
        <x:v>primary_source</x:v>
      </x:c>
      <x:c r="H108" s="21" t="str">
        <x:v>none</x:v>
      </x:c>
      <x:c r="I108" s="21" t="str">
        <x:v>standalone_primary_report</x:v>
      </x:c>
      <x:c r="J108" s="21" t="str">
        <x:v>A novel passive bi-directional audio over fiber transmission system with 20 Km</x:v>
      </x:c>
      <x:c r="K108" s="21" t="str">
        <x:v>Guan C.; Chu W.; Gong J.; Qin H.; Ye J.; Zhan L.; Wang W.; Chen X.; Xiao Y.</x:v>
      </x:c>
      <x:c r="L108" s="23" t="str">
        <x:v>2024</x:v>
      </x:c>
      <x:c r="M108" s="21" t="str">
        <x:v>Optical Fiber Technology</x:v>
      </x:c>
      <x:c r="N108" s="21" t="str">
        <x:v>10.1016/j.yofte.2024.103844</x:v>
      </x:c>
      <x:c r="O108" s="21" t="str">
        <x:v>https://doi.org/10.1016/j.yofte.2024.103844</x:v>
      </x:c>
      <x:c r="P108" s="21" t="str">
        <x:v>Article</x:v>
      </x:c>
      <x:c r="Q108" s="23" t="str">
        <x:v>13</x:v>
      </x:c>
      <x:c r="R108" s="23" t="str">
        <x:v>15</x:v>
      </x:c>
      <x:c r="S108" s="23" t="str">
        <x:v>0</x:v>
      </x:c>
      <x:c r="T108" s="23" t="str">
        <x:v>0</x:v>
      </x:c>
      <x:c r="U108" s="23" t="str">
        <x:v>0</x:v>
      </x:c>
      <x:c r="V108" s="23" t="str">
        <x:v>0</x:v>
      </x:c>
      <x:c r="W108" s="23" t="str">
        <x:v>0</x:v>
      </x:c>
      <x:c r="X108" s="23" t="str">
        <x:v>0</x:v>
      </x:c>
      <x:c r="Y108" s="21" t="str">
        <x:v>eligible_with_study_context</x:v>
      </x:c>
      <x:c r="Z108" s="21" t="str">
        <x:v>complete</x:v>
      </x:c>
      <x:c r="AA108" s="21" t="str">
        <x:v>Source SCR-00679 supplies 13 evidence, 15 metric, and 0 governed tradeoff rows; use gate: eligible_with_study_context.</x:v>
      </x:c>
    </x:row>
    <x:row r="109" ht="42" customHeight="1">
      <x:c r="A109" s="21" t="str">
        <x:v>STC-SINGLETON-SCR-00680</x:v>
      </x:c>
      <x:c r="B109" s="21" t="str">
        <x:v>OISAC_SCR00680</x:v>
      </x:c>
      <x:c r="C109" s="21" t="str">
        <x:v>RPT-SCR-00680-01</x:v>
      </x:c>
      <x:c r="D109" s="21" t="str">
        <x:v>SCR-00680</x:v>
      </x:c>
      <x:c r="E109" s="21" t="str">
        <x:v>OISAC_SCR00680</x:v>
      </x:c>
      <x:c r="F109" s="21" t="str">
        <x:v>\cite{OISAC_SCR00680}</x:v>
      </x:c>
      <x:c r="G109" s="21" t="str">
        <x:v>primary_source</x:v>
      </x:c>
      <x:c r="H109" s="21" t="str">
        <x:v>none</x:v>
      </x:c>
      <x:c r="I109" s="21" t="str">
        <x:v>standalone_primary_report</x:v>
      </x:c>
      <x:c r="J109" s="21" t="str">
        <x:v>Deep Integration of Fiber-Optic Communication and Sensing Systems Using Forward-Transmission Distributed Vibration Sensing and on–off Keying</x:v>
      </x:c>
      <x:c r="K109" s="21" t="str">
        <x:v>Zhu R.; Rao X.; Dai S.; Chen M.; Liu G.; Liu H.; Xu R.; Chen S.; Chen G.Y.; Wang Y.</x:v>
      </x:c>
      <x:c r="L109" s="23" t="str">
        <x:v>2024</x:v>
      </x:c>
      <x:c r="M109" s="21" t="str">
        <x:v>Sensors</x:v>
      </x:c>
      <x:c r="N109" s="21" t="str">
        <x:v>10.3390/s24175758</x:v>
      </x:c>
      <x:c r="O109" s="21" t="str">
        <x:v>https://doi.org/10.3390/s24175758</x:v>
      </x:c>
      <x:c r="P109" s="21" t="str">
        <x:v>Article</x:v>
      </x:c>
      <x:c r="Q109" s="23" t="str">
        <x:v>13</x:v>
      </x:c>
      <x:c r="R109" s="23" t="str">
        <x:v>17</x:v>
      </x:c>
      <x:c r="S109" s="23" t="str">
        <x:v>3</x:v>
      </x:c>
      <x:c r="T109" s="23" t="str">
        <x:v>0</x:v>
      </x:c>
      <x:c r="U109" s="23" t="str">
        <x:v>0</x:v>
      </x:c>
      <x:c r="V109" s="23" t="str">
        <x:v>0</x:v>
      </x:c>
      <x:c r="W109" s="23" t="str">
        <x:v>0</x:v>
      </x:c>
      <x:c r="X109" s="23" t="str">
        <x:v>0</x:v>
      </x:c>
      <x:c r="Y109" s="21" t="str">
        <x:v>eligible_with_study_context</x:v>
      </x:c>
      <x:c r="Z109" s="21" t="str">
        <x:v>complete</x:v>
      </x:c>
      <x:c r="AA109" s="21" t="str">
        <x:v>Source SCR-00680 supplies 13 evidence, 17 metric, and 3 governed tradeoff rows; use gate: eligible_with_study_context.</x:v>
      </x:c>
    </x:row>
    <x:row r="110" ht="42" customHeight="1">
      <x:c r="A110" s="21" t="str">
        <x:v>STC-SINGLETON-SCR-00719</x:v>
      </x:c>
      <x:c r="B110" s="21" t="str">
        <x:v>OISAC_SCR00719</x:v>
      </x:c>
      <x:c r="C110" s="21" t="str">
        <x:v>RPT-SCR-00719-01</x:v>
      </x:c>
      <x:c r="D110" s="21" t="str">
        <x:v>SCR-00719</x:v>
      </x:c>
      <x:c r="E110" s="21" t="str">
        <x:v>OISAC_SCR00719</x:v>
      </x:c>
      <x:c r="F110" s="21" t="str">
        <x:v>\cite{OISAC_SCR00719}</x:v>
      </x:c>
      <x:c r="G110" s="21" t="str">
        <x:v>primary_source</x:v>
      </x:c>
      <x:c r="H110" s="21" t="str">
        <x:v>none</x:v>
      </x:c>
      <x:c r="I110" s="21" t="str">
        <x:v>standalone_primary_report</x:v>
      </x:c>
      <x:c r="J110" s="21" t="str">
        <x:v>Development of an Integrated Communication and Sensing System Using Spread Spectrum and Photonics Technologies</x:v>
      </x:c>
      <x:c r="K110" s="21" t="str">
        <x:v>Alzamil A.K.; Sharawy M.A.; Almohimmah E.M.; Ragheb A.M.; Almaiman A.; Alshebeili S.A.</x:v>
      </x:c>
      <x:c r="L110" s="23" t="str">
        <x:v>2024</x:v>
      </x:c>
      <x:c r="M110" s="21" t="str">
        <x:v>Photonics</x:v>
      </x:c>
      <x:c r="N110" s="21" t="str">
        <x:v>10.3390/photonics11090861</x:v>
      </x:c>
      <x:c r="O110" s="21" t="str">
        <x:v>https://doi.org/10.3390/photonics11090861</x:v>
      </x:c>
      <x:c r="P110" s="21" t="str">
        <x:v>Article</x:v>
      </x:c>
      <x:c r="Q110" s="23" t="str">
        <x:v>16</x:v>
      </x:c>
      <x:c r="R110" s="23" t="str">
        <x:v>27</x:v>
      </x:c>
      <x:c r="S110" s="23" t="str">
        <x:v>2</x:v>
      </x:c>
      <x:c r="T110" s="23" t="str">
        <x:v>0</x:v>
      </x:c>
      <x:c r="U110" s="23" t="str">
        <x:v>0</x:v>
      </x:c>
      <x:c r="V110" s="23" t="str">
        <x:v>0</x:v>
      </x:c>
      <x:c r="W110" s="23" t="str">
        <x:v>0</x:v>
      </x:c>
      <x:c r="X110" s="23" t="str">
        <x:v>0</x:v>
      </x:c>
      <x:c r="Y110" s="21" t="str">
        <x:v>eligible_with_study_context</x:v>
      </x:c>
      <x:c r="Z110" s="21" t="str">
        <x:v>complete</x:v>
      </x:c>
      <x:c r="AA110" s="21" t="str">
        <x:v>Source SCR-00719 supplies 16 evidence, 27 metric, and 2 governed tradeoff rows; use gate: eligible_with_study_context.</x:v>
      </x:c>
    </x:row>
    <x:row r="111" ht="42" customHeight="1">
      <x:c r="A111" s="21" t="str">
        <x:v>STC-SINGLETON-SCR-00730</x:v>
      </x:c>
      <x:c r="B111" s="21" t="str">
        <x:v>OISAC_SCR00730</x:v>
      </x:c>
      <x:c r="C111" s="21" t="str">
        <x:v>RPT-SCR-00730-01</x:v>
      </x:c>
      <x:c r="D111" s="21" t="str">
        <x:v>SCR-00730</x:v>
      </x:c>
      <x:c r="E111" s="21" t="str">
        <x:v>OISAC_SCR00730</x:v>
      </x:c>
      <x:c r="F111" s="21" t="str">
        <x:v>\cite{OISAC_SCR00730}</x:v>
      </x:c>
      <x:c r="G111" s="21" t="str">
        <x:v>primary_source</x:v>
      </x:c>
      <x:c r="H111" s="21" t="str">
        <x:v>none</x:v>
      </x:c>
      <x:c r="I111" s="21" t="str">
        <x:v>standalone_primary_report</x:v>
      </x:c>
      <x:c r="J111" s="21" t="str">
        <x:v>Continuous Event Recording Technology For Integrated Sensing And Communications In Space</x:v>
      </x:c>
      <x:c r="K111" s="21" t="str">
        <x:v>Aboltins A.; Bespal'ko V.; Kurtenoks V.</x:v>
      </x:c>
      <x:c r="L111" s="23" t="str">
        <x:v>2024</x:v>
      </x:c>
      <x:c r="M111" s="21" t="str">
        <x:v>International Geoscience and Remote Sensing Symposium (IGARSS)</x:v>
      </x:c>
      <x:c r="N111" s="21" t="str">
        <x:v>10.1109/igarss53475.2024.10642111</x:v>
      </x:c>
      <x:c r="O111" s="21" t="str">
        <x:v>https://doi.org/10.1109/igarss53475.2024.10642111</x:v>
      </x:c>
      <x:c r="P111" s="21" t="str">
        <x:v>Conference paper</x:v>
      </x:c>
      <x:c r="Q111" s="23" t="str">
        <x:v>12</x:v>
      </x:c>
      <x:c r="R111" s="23" t="str">
        <x:v>15</x:v>
      </x:c>
      <x:c r="S111" s="23" t="str">
        <x:v>2</x:v>
      </x:c>
      <x:c r="T111" s="23" t="str">
        <x:v>0</x:v>
      </x:c>
      <x:c r="U111" s="23" t="str">
        <x:v>0</x:v>
      </x:c>
      <x:c r="V111" s="23" t="str">
        <x:v>0</x:v>
      </x:c>
      <x:c r="W111" s="23" t="str">
        <x:v>0</x:v>
      </x:c>
      <x:c r="X111" s="23" t="str">
        <x:v>0</x:v>
      </x:c>
      <x:c r="Y111" s="21" t="str">
        <x:v>eligible_with_study_context</x:v>
      </x:c>
      <x:c r="Z111" s="21" t="str">
        <x:v>complete</x:v>
      </x:c>
      <x:c r="AA111" s="21" t="str">
        <x:v>Source SCR-00730 supplies 12 evidence, 15 metric, and 2 governed tradeoff rows; use gate: eligible_with_study_context.</x:v>
      </x:c>
    </x:row>
    <x:row r="112" ht="42" customHeight="1">
      <x:c r="A112" s="21" t="str">
        <x:v>STC-SINGLETON-SCR-00761</x:v>
      </x:c>
      <x:c r="B112" s="21" t="str">
        <x:v>OISAC_SCR00761</x:v>
      </x:c>
      <x:c r="C112" s="21" t="str">
        <x:v>RPT-SCR-00761-01</x:v>
      </x:c>
      <x:c r="D112" s="21" t="str">
        <x:v>SCR-00761</x:v>
      </x:c>
      <x:c r="E112" s="21" t="str">
        <x:v>OISAC_SCR00761</x:v>
      </x:c>
      <x:c r="F112" s="21" t="str">
        <x:v>\cite{OISAC_SCR00761}</x:v>
      </x:c>
      <x:c r="G112" s="21" t="str">
        <x:v>primary_source</x:v>
      </x:c>
      <x:c r="H112" s="21" t="str">
        <x:v>none</x:v>
      </x:c>
      <x:c r="I112" s="21" t="str">
        <x:v>standalone_primary_report</x:v>
      </x:c>
      <x:c r="J112" s="21" t="str">
        <x:v>Joint Communication and Eavesdropper Detection on the Lossy Bosonic Channel</x:v>
      </x:c>
      <x:c r="K112" s="21" t="str">
        <x:v>Munar-Vallespir P.; Nötzel J.; Seitz F.</x:v>
      </x:c>
      <x:c r="L112" s="23" t="str">
        <x:v>2024</x:v>
      </x:c>
      <x:c r="M112" s="21" t="str">
        <x:v>Proceedings - IEEE Global Communications Conference, GLOBECOM</x:v>
      </x:c>
      <x:c r="N112" s="21" t="str">
        <x:v>10.1109/globecom52923.2024.10901161</x:v>
      </x:c>
      <x:c r="O112" s="21" t="str">
        <x:v>https://doi.org/10.1109/globecom52923.2024.10901161</x:v>
      </x:c>
      <x:c r="P112" s="21" t="str">
        <x:v>Conference paper</x:v>
      </x:c>
      <x:c r="Q112" s="23" t="str">
        <x:v>12</x:v>
      </x:c>
      <x:c r="R112" s="23" t="str">
        <x:v>14</x:v>
      </x:c>
      <x:c r="S112" s="23" t="str">
        <x:v>1</x:v>
      </x:c>
      <x:c r="T112" s="23" t="str">
        <x:v>0</x:v>
      </x:c>
      <x:c r="U112" s="23" t="str">
        <x:v>0</x:v>
      </x:c>
      <x:c r="V112" s="23" t="str">
        <x:v>0</x:v>
      </x:c>
      <x:c r="W112" s="23" t="str">
        <x:v>0</x:v>
      </x:c>
      <x:c r="X112" s="23" t="str">
        <x:v>0</x:v>
      </x:c>
      <x:c r="Y112" s="21" t="str">
        <x:v>eligible_with_study_context</x:v>
      </x:c>
      <x:c r="Z112" s="21" t="str">
        <x:v>complete</x:v>
      </x:c>
      <x:c r="AA112" s="21" t="str">
        <x:v>Source SCR-00761 supplies 12 evidence, 14 metric, and 1 governed tradeoff rows; use gate: eligible_with_study_context.</x:v>
      </x:c>
    </x:row>
    <x:row r="113" ht="42" customHeight="1">
      <x:c r="A113" s="21" t="str">
        <x:v>STC-SINGLETON-SCR-00808</x:v>
      </x:c>
      <x:c r="B113" s="21" t="str">
        <x:v>OISAC_SCR00808</x:v>
      </x:c>
      <x:c r="C113" s="21" t="str">
        <x:v>RPT-SCR-00808-01</x:v>
      </x:c>
      <x:c r="D113" s="21" t="str">
        <x:v>SCR-00808</x:v>
      </x:c>
      <x:c r="E113" s="21" t="str">
        <x:v>OISAC_SCR00808</x:v>
      </x:c>
      <x:c r="F113" s="21" t="str">
        <x:v>\cite{OISAC_SCR00808}</x:v>
      </x:c>
      <x:c r="G113" s="21" t="str">
        <x:v>primary_source</x:v>
      </x:c>
      <x:c r="H113" s="21" t="str">
        <x:v>none</x:v>
      </x:c>
      <x:c r="I113" s="21" t="str">
        <x:v>standalone_primary_report</x:v>
      </x:c>
      <x:c r="J113" s="21" t="str">
        <x:v>Photonics-aided integrated sensing and communications in mmW bands based on a DC-offset QPSK-encoded LFMCW</x:v>
      </x:c>
      <x:c r="K113" s="21" t="str">
        <x:v>Lei M.; Hua B.; Cai Y.; Zhang J.; Zou Y.; Tong W.; Liu X.; Fang M.; Yu J.; Zhu M.</x:v>
      </x:c>
      <x:c r="L113" s="23" t="str">
        <x:v>2022</x:v>
      </x:c>
      <x:c r="M113" s="21" t="str">
        <x:v>Optics Express</x:v>
      </x:c>
      <x:c r="N113" s="21" t="str">
        <x:v>10.1364/oe.474055</x:v>
      </x:c>
      <x:c r="O113" s="21" t="str">
        <x:v>https://doi.org/10.1364/oe.474055</x:v>
      </x:c>
      <x:c r="P113" s="21" t="str">
        <x:v>Article</x:v>
      </x:c>
      <x:c r="Q113" s="23" t="str">
        <x:v>15</x:v>
      </x:c>
      <x:c r="R113" s="23" t="str">
        <x:v>34</x:v>
      </x:c>
      <x:c r="S113" s="23" t="str">
        <x:v>1</x:v>
      </x:c>
      <x:c r="T113" s="23" t="str">
        <x:v>3</x:v>
      </x:c>
      <x:c r="U113" s="23" t="str">
        <x:v>0</x:v>
      </x:c>
      <x:c r="V113" s="23" t="str">
        <x:v>0</x:v>
      </x:c>
      <x:c r="W113" s="23" t="str">
        <x:v>0</x:v>
      </x:c>
      <x:c r="X113" s="23" t="str">
        <x:v>0</x:v>
      </x:c>
      <x:c r="Y113" s="21" t="str">
        <x:v>report_specific_guardrail</x:v>
      </x:c>
      <x:c r="Z113" s="21" t="str">
        <x:v>complete</x:v>
      </x:c>
      <x:c r="AA113" s="21" t="str">
        <x:v>Source SCR-00808 supplies 15 evidence, 34 metric, and 1 governed tradeoff rows; use gate: report_specific_guardrail.</x:v>
      </x:c>
    </x:row>
    <x:row r="114" ht="42" customHeight="1">
      <x:c r="A114" s="21" t="str">
        <x:v>STC-SINGLETON-SCR-00833</x:v>
      </x:c>
      <x:c r="B114" s="21" t="str">
        <x:v>OISAC_SCR00833</x:v>
      </x:c>
      <x:c r="C114" s="21" t="str">
        <x:v>RPT-SCR-00833-01</x:v>
      </x:c>
      <x:c r="D114" s="21" t="str">
        <x:v>SCR-00833</x:v>
      </x:c>
      <x:c r="E114" s="21" t="str">
        <x:v>OISAC_SCR00833</x:v>
      </x:c>
      <x:c r="F114" s="21" t="str">
        <x:v>\cite{OISAC_SCR00833}</x:v>
      </x:c>
      <x:c r="G114" s="21" t="str">
        <x:v>primary_source</x:v>
      </x:c>
      <x:c r="H114" s="21" t="str">
        <x:v>none</x:v>
      </x:c>
      <x:c r="I114" s="21" t="str">
        <x:v>standalone_primary_report</x:v>
      </x:c>
      <x:c r="J114" s="21" t="str">
        <x:v>CORE-Lens: Simultaneous Communication and Object REcognition with Disentangled-GAN Cameras</x:v>
      </x:c>
      <x:c r="K114" s="21" t="str">
        <x:v>Liu Z.; Zheng T.; Hu C.; Yang Y.; Sun Y.; Zhang Y.; Chen Z.; Chen L.; Luo J.</x:v>
      </x:c>
      <x:c r="L114" s="23" t="str">
        <x:v>2022</x:v>
      </x:c>
      <x:c r="M114" s="21" t="str">
        <x:v>Proceedings of the Annual International Conference on Mobile Computing and Networking, MOBICOM</x:v>
      </x:c>
      <x:c r="N114" s="21" t="str">
        <x:v>10.1145/3495243.3560526</x:v>
      </x:c>
      <x:c r="O114" s="21" t="str">
        <x:v>https://doi.org/10.1145/3495243.3560526</x:v>
      </x:c>
      <x:c r="P114" s="21" t="str">
        <x:v>Conference paper</x:v>
      </x:c>
      <x:c r="Q114" s="23" t="str">
        <x:v>16</x:v>
      </x:c>
      <x:c r="R114" s="23" t="str">
        <x:v>24</x:v>
      </x:c>
      <x:c r="S114" s="23" t="str">
        <x:v>2</x:v>
      </x:c>
      <x:c r="T114" s="23" t="str">
        <x:v>0</x:v>
      </x:c>
      <x:c r="U114" s="23" t="str">
        <x:v>0</x:v>
      </x:c>
      <x:c r="V114" s="23" t="str">
        <x:v>0</x:v>
      </x:c>
      <x:c r="W114" s="23" t="str">
        <x:v>0</x:v>
      </x:c>
      <x:c r="X114" s="23" t="str">
        <x:v>0</x:v>
      </x:c>
      <x:c r="Y114" s="21" t="str">
        <x:v>eligible_with_study_context</x:v>
      </x:c>
      <x:c r="Z114" s="21" t="str">
        <x:v>complete</x:v>
      </x:c>
      <x:c r="AA114" s="21" t="str">
        <x:v>Source SCR-00833 supplies 16 evidence, 24 metric, and 2 governed tradeoff rows; use gate: eligible_with_study_context.</x:v>
      </x:c>
    </x:row>
    <x:row r="115" ht="42" customHeight="1">
      <x:c r="A115" s="21" t="str">
        <x:v>STC-SINGLETON-SCR-00836</x:v>
      </x:c>
      <x:c r="B115" s="21" t="str">
        <x:v>OISAC_SCR00836</x:v>
      </x:c>
      <x:c r="C115" s="21" t="str">
        <x:v>RPT-SCR-00836-01</x:v>
      </x:c>
      <x:c r="D115" s="21" t="str">
        <x:v>SCR-00836</x:v>
      </x:c>
      <x:c r="E115" s="21" t="str">
        <x:v>OISAC_SCR00836</x:v>
      </x:c>
      <x:c r="F115" s="21" t="str">
        <x:v>\cite{OISAC_SCR00836}</x:v>
      </x:c>
      <x:c r="G115" s="21" t="str">
        <x:v>primary_source</x:v>
      </x:c>
      <x:c r="H115" s="21" t="str">
        <x:v>none</x:v>
      </x:c>
      <x:c r="I115" s="21" t="str">
        <x:v>standalone_primary_report</x:v>
      </x:c>
      <x:c r="J115" s="21" t="str">
        <x:v>Integrated Sensing and Communication in the Visible Spectral Range: A Novel Closed Loop Controller</x:v>
      </x:c>
      <x:c r="K115" s="21" t="str">
        <x:v>Fragner C.; Weiss A.P.; Wenzl F.P.; Leitgeb E.</x:v>
      </x:c>
      <x:c r="L115" s="23" t="str">
        <x:v>2022</x:v>
      </x:c>
      <x:c r="M115" s="21" t="str">
        <x:v>2022 International Conference on Broadband Communications for Next Generation Networks and Multimedia Applications, CoBCom 2022</x:v>
      </x:c>
      <x:c r="N115" s="21" t="str">
        <x:v>10.1109/cobcom55489.2022.9880677</x:v>
      </x:c>
      <x:c r="O115" s="21" t="str">
        <x:v>https://doi.org/10.1109/cobcom55489.2022.9880677</x:v>
      </x:c>
      <x:c r="P115" s="21" t="str">
        <x:v>Conference paper</x:v>
      </x:c>
      <x:c r="Q115" s="23" t="str">
        <x:v>12</x:v>
      </x:c>
      <x:c r="R115" s="23" t="str">
        <x:v>20</x:v>
      </x:c>
      <x:c r="S115" s="23" t="str">
        <x:v>2</x:v>
      </x:c>
      <x:c r="T115" s="23" t="str">
        <x:v>0</x:v>
      </x:c>
      <x:c r="U115" s="23" t="str">
        <x:v>0</x:v>
      </x:c>
      <x:c r="V115" s="23" t="str">
        <x:v>0</x:v>
      </x:c>
      <x:c r="W115" s="23" t="str">
        <x:v>0</x:v>
      </x:c>
      <x:c r="X115" s="23" t="str">
        <x:v>0</x:v>
      </x:c>
      <x:c r="Y115" s="21" t="str">
        <x:v>eligible_with_study_context</x:v>
      </x:c>
      <x:c r="Z115" s="21" t="str">
        <x:v>complete</x:v>
      </x:c>
      <x:c r="AA115" s="21" t="str">
        <x:v>Source SCR-00836 supplies 12 evidence, 20 metric, and 2 governed tradeoff rows; use gate: eligible_with_study_context.</x:v>
      </x:c>
    </x:row>
    <x:row r="116" ht="42" customHeight="1">
      <x:c r="A116" s="21" t="str">
        <x:v>STC-SINGLETON-SCR-00873</x:v>
      </x:c>
      <x:c r="B116" s="21" t="str">
        <x:v>OISAC_SCR00873</x:v>
      </x:c>
      <x:c r="C116" s="21" t="str">
        <x:v>RPT-SCR-00873-01</x:v>
      </x:c>
      <x:c r="D116" s="21" t="str">
        <x:v>SCR-00873</x:v>
      </x:c>
      <x:c r="E116" s="21" t="str">
        <x:v>OISAC_SCR00873</x:v>
      </x:c>
      <x:c r="F116" s="21" t="str">
        <x:v>\cite{OISAC_SCR00873}</x:v>
      </x:c>
      <x:c r="G116" s="21" t="str">
        <x:v>primary_source</x:v>
      </x:c>
      <x:c r="H116" s="21" t="str">
        <x:v>none</x:v>
      </x:c>
      <x:c r="I116" s="21" t="str">
        <x:v>standalone_primary_report</x:v>
      </x:c>
      <x:c r="J116" s="21" t="str">
        <x:v>Monolithically Integrated Sensing, Communication, and Energy Harvester</x:v>
      </x:c>
      <x:c r="K116" s="21" t="str">
        <x:v>Jia B.; Gao X.; Ye Z.; Liu P.; Hu F.; Zhu H.; Wang Y.</x:v>
      </x:c>
      <x:c r="L116" s="23" t="str">
        <x:v>2022</x:v>
      </x:c>
      <x:c r="M116" s="21" t="str">
        <x:v>Energy Technology</x:v>
      </x:c>
      <x:c r="N116" s="21" t="str">
        <x:v>10.1002/ente.202100793</x:v>
      </x:c>
      <x:c r="O116" s="21" t="str">
        <x:v>https://doi.org/10.1002/ente.202100793</x:v>
      </x:c>
      <x:c r="P116" s="21" t="str">
        <x:v>Article</x:v>
      </x:c>
      <x:c r="Q116" s="23" t="str">
        <x:v>12</x:v>
      </x:c>
      <x:c r="R116" s="23" t="str">
        <x:v>26</x:v>
      </x:c>
      <x:c r="S116" s="23" t="str">
        <x:v>0</x:v>
      </x:c>
      <x:c r="T116" s="23" t="str">
        <x:v>0</x:v>
      </x:c>
      <x:c r="U116" s="23" t="str">
        <x:v>0</x:v>
      </x:c>
      <x:c r="V116" s="23" t="str">
        <x:v>0</x:v>
      </x:c>
      <x:c r="W116" s="23" t="str">
        <x:v>0</x:v>
      </x:c>
      <x:c r="X116" s="23" t="str">
        <x:v>0</x:v>
      </x:c>
      <x:c r="Y116" s="21" t="str">
        <x:v>eligible_with_study_context</x:v>
      </x:c>
      <x:c r="Z116" s="21" t="str">
        <x:v>complete</x:v>
      </x:c>
      <x:c r="AA116" s="21" t="str">
        <x:v>Source SCR-00873 supplies 12 evidence, 26 metric, and 0 governed tradeoff rows; use gate: eligible_with_study_context.</x:v>
      </x:c>
    </x:row>
    <x:row r="117" ht="42" customHeight="1">
      <x:c r="A117" s="21" t="str">
        <x:v>STC-SINGLETON-SCR-00882</x:v>
      </x:c>
      <x:c r="B117" s="21" t="str">
        <x:v>OISAC_SCR00882</x:v>
      </x:c>
      <x:c r="C117" s="21" t="str">
        <x:v>RPT-SCR-00882-01</x:v>
      </x:c>
      <x:c r="D117" s="21" t="str">
        <x:v>SCR-00882</x:v>
      </x:c>
      <x:c r="E117" s="21" t="str">
        <x:v>OISAC_SCR00882</x:v>
      </x:c>
      <x:c r="F117" s="21" t="str">
        <x:v>\cite{OISAC_SCR00882}</x:v>
      </x:c>
      <x:c r="G117" s="21" t="str">
        <x:v>primary_source</x:v>
      </x:c>
      <x:c r="H117" s="21" t="str">
        <x:v>none</x:v>
      </x:c>
      <x:c r="I117" s="21" t="str">
        <x:v>standalone_primary_report</x:v>
      </x:c>
      <x:c r="J117" s="21" t="str">
        <x:v>Performance Analysis of Microwave Photonics Assisted Joint Radar Communications</x:v>
      </x:c>
      <x:c r="K117" s="21" t="str">
        <x:v>Reddy T.S.S.; Reddy V.S.S.; Thipparaju R.R.; Singh U.K.</x:v>
      </x:c>
      <x:c r="L117" s="23" t="str">
        <x:v>2024</x:v>
      </x:c>
      <x:c r="M117" s="21" t="str">
        <x:v>2024 International Conference on Wireless Communications, Signal Processing and Networking, WiSPNET 2024</x:v>
      </x:c>
      <x:c r="N117" s="21" t="str">
        <x:v>10.1109/wispnet61464.2024.10533153</x:v>
      </x:c>
      <x:c r="O117" s="21" t="str">
        <x:v>https://doi.org/10.1109/wispnet61464.2024.10533153</x:v>
      </x:c>
      <x:c r="P117" s="21" t="str">
        <x:v>Conference paper</x:v>
      </x:c>
      <x:c r="Q117" s="23" t="str">
        <x:v>12</x:v>
      </x:c>
      <x:c r="R117" s="23" t="str">
        <x:v>24</x:v>
      </x:c>
      <x:c r="S117" s="23" t="str">
        <x:v>0</x:v>
      </x:c>
      <x:c r="T117" s="23" t="str">
        <x:v>0</x:v>
      </x:c>
      <x:c r="U117" s="23" t="str">
        <x:v>0</x:v>
      </x:c>
      <x:c r="V117" s="23" t="str">
        <x:v>0</x:v>
      </x:c>
      <x:c r="W117" s="23" t="str">
        <x:v>0</x:v>
      </x:c>
      <x:c r="X117" s="23" t="str">
        <x:v>0</x:v>
      </x:c>
      <x:c r="Y117" s="21" t="str">
        <x:v>eligible_with_study_context</x:v>
      </x:c>
      <x:c r="Z117" s="21" t="str">
        <x:v>complete</x:v>
      </x:c>
      <x:c r="AA117" s="21" t="str">
        <x:v>Source SCR-00882 supplies 12 evidence, 24 metric, and 0 governed tradeoff rows; use gate: eligible_with_study_context.</x:v>
      </x:c>
    </x:row>
    <x:row r="118" ht="42" customHeight="1">
      <x:c r="A118" s="21" t="str">
        <x:v>STC-SINGLETON-SCR-00884</x:v>
      </x:c>
      <x:c r="B118" s="21" t="str">
        <x:v>OISAC_SCR00884</x:v>
      </x:c>
      <x:c r="C118" s="21" t="str">
        <x:v>RPT-SCR-00884-01</x:v>
      </x:c>
      <x:c r="D118" s="21" t="str">
        <x:v>SCR-00884</x:v>
      </x:c>
      <x:c r="E118" s="21" t="str">
        <x:v>OISAC_SCR00884</x:v>
      </x:c>
      <x:c r="F118" s="21" t="str">
        <x:v>\cite{OISAC_SCR00884}</x:v>
      </x:c>
      <x:c r="G118" s="21" t="str">
        <x:v>primary_source</x:v>
      </x:c>
      <x:c r="H118" s="21" t="str">
        <x:v>none</x:v>
      </x:c>
      <x:c r="I118" s="21" t="str">
        <x:v>standalone_primary_report</x:v>
      </x:c>
      <x:c r="J118" s="21" t="str">
        <x:v>Photonic-assisted generation of joint radar and communication signals with immunity to power fading</x:v>
      </x:c>
      <x:c r="K118" s="21" t="str">
        <x:v>Men Y.; Ji J.; Wen A.; Wang Y.; Yang F.</x:v>
      </x:c>
      <x:c r="L118" s="23" t="str">
        <x:v>2023</x:v>
      </x:c>
      <x:c r="M118" s="21" t="str">
        <x:v>Optics Communications</x:v>
      </x:c>
      <x:c r="N118" s="21" t="str">
        <x:v>10.1016/j.optcom.2023.129598</x:v>
      </x:c>
      <x:c r="O118" s="21" t="str">
        <x:v>https://doi.org/10.1016/j.optcom.2023.129598</x:v>
      </x:c>
      <x:c r="P118" s="21" t="str">
        <x:v>Article</x:v>
      </x:c>
      <x:c r="Q118" s="23" t="str">
        <x:v>13</x:v>
      </x:c>
      <x:c r="R118" s="23" t="str">
        <x:v>33</x:v>
      </x:c>
      <x:c r="S118" s="23" t="str">
        <x:v>2</x:v>
      </x:c>
      <x:c r="T118" s="23" t="str">
        <x:v>0</x:v>
      </x:c>
      <x:c r="U118" s="23" t="str">
        <x:v>0</x:v>
      </x:c>
      <x:c r="V118" s="23" t="str">
        <x:v>0</x:v>
      </x:c>
      <x:c r="W118" s="23" t="str">
        <x:v>0</x:v>
      </x:c>
      <x:c r="X118" s="23" t="str">
        <x:v>0</x:v>
      </x:c>
      <x:c r="Y118" s="21" t="str">
        <x:v>eligible_with_study_context</x:v>
      </x:c>
      <x:c r="Z118" s="21" t="str">
        <x:v>complete</x:v>
      </x:c>
      <x:c r="AA118" s="21" t="str">
        <x:v>Source SCR-00884 supplies 13 evidence, 33 metric, and 2 governed tradeoff rows; use gate: eligible_with_study_context.</x:v>
      </x:c>
    </x:row>
    <x:row r="119" ht="42" customHeight="1">
      <x:c r="A119" s="21" t="str">
        <x:v>STC-SINGLETON-SCR-00885</x:v>
      </x:c>
      <x:c r="B119" s="21" t="str">
        <x:v>OISAC_SCR00885</x:v>
      </x:c>
      <x:c r="C119" s="21" t="str">
        <x:v>RPT-SCR-00885-01</x:v>
      </x:c>
      <x:c r="D119" s="21" t="str">
        <x:v>SCR-00885</x:v>
      </x:c>
      <x:c r="E119" s="21" t="str">
        <x:v>OISAC_SCR00885</x:v>
      </x:c>
      <x:c r="F119" s="21" t="str">
        <x:v>\cite{OISAC_SCR00885}</x:v>
      </x:c>
      <x:c r="G119" s="21" t="str">
        <x:v>primary_source</x:v>
      </x:c>
      <x:c r="H119" s="21" t="str">
        <x:v>none</x:v>
      </x:c>
      <x:c r="I119" s="21" t="str">
        <x:v>standalone_primary_report</x:v>
      </x:c>
      <x:c r="J119" s="21" t="str">
        <x:v>Photonic-aid dual-formats LFM signals generator for joint radar-communication system</x:v>
      </x:c>
      <x:c r="K119" s="21" t="str">
        <x:v>Yixiao Z.; Shanghong Z.; Xuan L.; Guodong W.; Longqiang Y.</x:v>
      </x:c>
      <x:c r="L119" s="23" t="str">
        <x:v>2022</x:v>
      </x:c>
      <x:c r="M119" s="21" t="str">
        <x:v>Optik</x:v>
      </x:c>
      <x:c r="N119" s="21" t="str">
        <x:v>10.1016/j.ijleo.2022.170004</x:v>
      </x:c>
      <x:c r="O119" s="21" t="str">
        <x:v>https://doi.org/10.1016/j.ijleo.2022.170004</x:v>
      </x:c>
      <x:c r="P119" s="21" t="str">
        <x:v>Article</x:v>
      </x:c>
      <x:c r="Q119" s="23" t="str">
        <x:v>12</x:v>
      </x:c>
      <x:c r="R119" s="23" t="str">
        <x:v>19</x:v>
      </x:c>
      <x:c r="S119" s="23" t="str">
        <x:v>4</x:v>
      </x:c>
      <x:c r="T119" s="23" t="str">
        <x:v>0</x:v>
      </x:c>
      <x:c r="U119" s="23" t="str">
        <x:v>0</x:v>
      </x:c>
      <x:c r="V119" s="23" t="str">
        <x:v>0</x:v>
      </x:c>
      <x:c r="W119" s="23" t="str">
        <x:v>0</x:v>
      </x:c>
      <x:c r="X119" s="23" t="str">
        <x:v>0</x:v>
      </x:c>
      <x:c r="Y119" s="21" t="str">
        <x:v>eligible_with_study_context</x:v>
      </x:c>
      <x:c r="Z119" s="21" t="str">
        <x:v>complete</x:v>
      </x:c>
      <x:c r="AA119" s="21" t="str">
        <x:v>Source SCR-00885 supplies 12 evidence, 19 metric, and 4 governed tradeoff rows; use gate: eligible_with_study_context.</x:v>
      </x:c>
    </x:row>
    <x:row r="120" ht="42" customHeight="1">
      <x:c r="A120" s="21" t="str">
        <x:v>STC-SINGLETON-SCR-00887</x:v>
      </x:c>
      <x:c r="B120" s="21" t="str">
        <x:v>OISAC_SCR00887</x:v>
      </x:c>
      <x:c r="C120" s="21" t="str">
        <x:v>RPT-SCR-00887-01</x:v>
      </x:c>
      <x:c r="D120" s="21" t="str">
        <x:v>SCR-00887</x:v>
      </x:c>
      <x:c r="E120" s="21" t="str">
        <x:v>OISAC_SCR00887</x:v>
      </x:c>
      <x:c r="F120" s="21" t="str">
        <x:v>\cite{OISAC_SCR00887}</x:v>
      </x:c>
      <x:c r="G120" s="21" t="str">
        <x:v>primary_source</x:v>
      </x:c>
      <x:c r="H120" s="21" t="str">
        <x:v>none</x:v>
      </x:c>
      <x:c r="I120" s="21" t="str">
        <x:v>standalone_primary_report</x:v>
      </x:c>
      <x:c r="J120" s="21" t="str">
        <x:v>Microwave Photonic Joint Radar, Wireless Communications, and Spectrum Sensing System With Broadband Tunability From 12 to 40 GHz</x:v>
      </x:c>
      <x:c r="K120" s="21" t="str">
        <x:v>Yang F.; Lin C.; Gao J.; Chen Y.</x:v>
      </x:c>
      <x:c r="L120" s="23" t="str">
        <x:v>2026</x:v>
      </x:c>
      <x:c r="M120" s="21" t="str">
        <x:v>IEEE Internet of Things Journal</x:v>
      </x:c>
      <x:c r="N120" s="21" t="str">
        <x:v>10.1109/jiot.2026.3672154</x:v>
      </x:c>
      <x:c r="O120" s="21" t="str">
        <x:v>https://doi.org/10.1109/jiot.2026.3672154</x:v>
      </x:c>
      <x:c r="P120" s="21" t="str">
        <x:v>Article</x:v>
      </x:c>
      <x:c r="Q120" s="23" t="str">
        <x:v>15</x:v>
      </x:c>
      <x:c r="R120" s="23" t="str">
        <x:v>24</x:v>
      </x:c>
      <x:c r="S120" s="23" t="str">
        <x:v>4</x:v>
      </x:c>
      <x:c r="T120" s="23" t="str">
        <x:v>0</x:v>
      </x:c>
      <x:c r="U120" s="23" t="str">
        <x:v>0</x:v>
      </x:c>
      <x:c r="V120" s="23" t="str">
        <x:v>0</x:v>
      </x:c>
      <x:c r="W120" s="23" t="str">
        <x:v>0</x:v>
      </x:c>
      <x:c r="X120" s="23" t="str">
        <x:v>0</x:v>
      </x:c>
      <x:c r="Y120" s="21" t="str">
        <x:v>eligible_with_study_context</x:v>
      </x:c>
      <x:c r="Z120" s="21" t="str">
        <x:v>complete</x:v>
      </x:c>
      <x:c r="AA120" s="21" t="str">
        <x:v>Source SCR-00887 supplies 15 evidence, 24 metric, and 4 governed tradeoff rows; use gate: eligible_with_study_context.</x:v>
      </x:c>
    </x:row>
    <x:row r="121" ht="42" customHeight="1">
      <x:c r="A121" s="21" t="str">
        <x:v>STC-SINGLETON-SCR-00891</x:v>
      </x:c>
      <x:c r="B121" s="21" t="str">
        <x:v>OISAC_SCR00891</x:v>
      </x:c>
      <x:c r="C121" s="21" t="str">
        <x:v>RPT-SCR-00891-01</x:v>
      </x:c>
      <x:c r="D121" s="21" t="str">
        <x:v>SCR-00891</x:v>
      </x:c>
      <x:c r="E121" s="21" t="str">
        <x:v>OISAC_SCR00891</x:v>
      </x:c>
      <x:c r="F121" s="21" t="str">
        <x:v>\cite{OISAC_SCR00891}</x:v>
      </x:c>
      <x:c r="G121" s="21" t="str">
        <x:v>primary_source</x:v>
      </x:c>
      <x:c r="H121" s="21" t="str">
        <x:v>none</x:v>
      </x:c>
      <x:c r="I121" s="21" t="str">
        <x:v>standalone_primary_report</x:v>
      </x:c>
      <x:c r="J121" s="21" t="str">
        <x:v>Millimeter-wave joint radar and communication system based on photonic frequency-multiplying constant envelope LFM-OFDM</x:v>
      </x:c>
      <x:c r="K121" s="21" t="str">
        <x:v>Bai W.; Li P.; Zou X.; Zhou Z.; Pan W.; Yan L.; Luo B.; Fang X.; Jiang L.; Chen L.</x:v>
      </x:c>
      <x:c r="L121" s="23" t="str">
        <x:v>2022</x:v>
      </x:c>
      <x:c r="M121" s="21" t="str">
        <x:v>Optics Express</x:v>
      </x:c>
      <x:c r="N121" s="21" t="str">
        <x:v>10.1364/oe.461508</x:v>
      </x:c>
      <x:c r="O121" s="21" t="str">
        <x:v>https://doi.org/10.1364/oe.461508</x:v>
      </x:c>
      <x:c r="P121" s="21" t="str">
        <x:v>Article</x:v>
      </x:c>
      <x:c r="Q121" s="23" t="str">
        <x:v>16</x:v>
      </x:c>
      <x:c r="R121" s="23" t="str">
        <x:v>35</x:v>
      </x:c>
      <x:c r="S121" s="23" t="str">
        <x:v>4</x:v>
      </x:c>
      <x:c r="T121" s="23" t="str">
        <x:v>0</x:v>
      </x:c>
      <x:c r="U121" s="23" t="str">
        <x:v>0</x:v>
      </x:c>
      <x:c r="V121" s="23" t="str">
        <x:v>0</x:v>
      </x:c>
      <x:c r="W121" s="23" t="str">
        <x:v>0</x:v>
      </x:c>
      <x:c r="X121" s="23" t="str">
        <x:v>0</x:v>
      </x:c>
      <x:c r="Y121" s="21" t="str">
        <x:v>eligible_with_study_context</x:v>
      </x:c>
      <x:c r="Z121" s="21" t="str">
        <x:v>complete</x:v>
      </x:c>
      <x:c r="AA121" s="21" t="str">
        <x:v>Source SCR-00891 supplies 16 evidence, 35 metric, and 4 governed tradeoff rows; use gate: eligible_with_study_context.</x:v>
      </x:c>
    </x:row>
    <x:row r="122" ht="42" customHeight="1">
      <x:c r="A122" s="21" t="str">
        <x:v>STC-SINGLETON-SCR-00893</x:v>
      </x:c>
      <x:c r="B122" s="21" t="str">
        <x:v>OISAC_SCR00893</x:v>
      </x:c>
      <x:c r="C122" s="21" t="str">
        <x:v>RPT-SCR-00893-01</x:v>
      </x:c>
      <x:c r="D122" s="21" t="str">
        <x:v>SCR-00893</x:v>
      </x:c>
      <x:c r="E122" s="21" t="str">
        <x:v>OISAC_SCR00893</x:v>
      </x:c>
      <x:c r="F122" s="21" t="str">
        <x:v>\cite{OISAC_SCR00893}</x:v>
      </x:c>
      <x:c r="G122" s="21" t="str">
        <x:v>primary_source</x:v>
      </x:c>
      <x:c r="H122" s="21" t="str">
        <x:v>none</x:v>
      </x:c>
      <x:c r="I122" s="21" t="str">
        <x:v>standalone_primary_report</x:v>
      </x:c>
      <x:c r="J122" s="21" t="str">
        <x:v>Microwave Photonic Joint Radar and Secure Communication via Radar Signal Masking</x:v>
      </x:c>
      <x:c r="K122" s="21" t="str">
        <x:v>Shi T.; Zhang F.; Chen Y.</x:v>
      </x:c>
      <x:c r="L122" s="23" t="str">
        <x:v>2025</x:v>
      </x:c>
      <x:c r="M122" s="21" t="str">
        <x:v>IEEE Microwave and Wireless Technology Letters</x:v>
      </x:c>
      <x:c r="N122" s="21" t="str">
        <x:v>10.1109/lmwt.2025.3578137</x:v>
      </x:c>
      <x:c r="O122" s="21" t="str">
        <x:v>https://doi.org/10.1109/lmwt.2025.3578137</x:v>
      </x:c>
      <x:c r="P122" s="21" t="str">
        <x:v>Article</x:v>
      </x:c>
      <x:c r="Q122" s="23" t="str">
        <x:v>12</x:v>
      </x:c>
      <x:c r="R122" s="23" t="str">
        <x:v>18</x:v>
      </x:c>
      <x:c r="S122" s="23" t="str">
        <x:v>1</x:v>
      </x:c>
      <x:c r="T122" s="23" t="str">
        <x:v>0</x:v>
      </x:c>
      <x:c r="U122" s="23" t="str">
        <x:v>0</x:v>
      </x:c>
      <x:c r="V122" s="23" t="str">
        <x:v>0</x:v>
      </x:c>
      <x:c r="W122" s="23" t="str">
        <x:v>0</x:v>
      </x:c>
      <x:c r="X122" s="23" t="str">
        <x:v>0</x:v>
      </x:c>
      <x:c r="Y122" s="21" t="str">
        <x:v>eligible_with_study_context</x:v>
      </x:c>
      <x:c r="Z122" s="21" t="str">
        <x:v>complete</x:v>
      </x:c>
      <x:c r="AA122" s="21" t="str">
        <x:v>Source SCR-00893 supplies 12 evidence, 18 metric, and 1 governed tradeoff rows; use gate: eligible_with_study_context.</x:v>
      </x:c>
    </x:row>
    <x:row r="123" ht="42" customHeight="1">
      <x:c r="A123" s="21" t="str">
        <x:v>STC-SINGLETON-SCR-00896</x:v>
      </x:c>
      <x:c r="B123" s="21" t="str">
        <x:v>OISAC_SCR00896</x:v>
      </x:c>
      <x:c r="C123" s="21" t="str">
        <x:v>RPT-SCR-00896-01</x:v>
      </x:c>
      <x:c r="D123" s="21" t="str">
        <x:v>SCR-00896</x:v>
      </x:c>
      <x:c r="E123" s="21" t="str">
        <x:v>OISAC_SCR00896</x:v>
      </x:c>
      <x:c r="F123" s="21" t="str">
        <x:v>\cite{OISAC_SCR00896}</x:v>
      </x:c>
      <x:c r="G123" s="21" t="str">
        <x:v>primary_source</x:v>
      </x:c>
      <x:c r="H123" s="21" t="str">
        <x:v>none</x:v>
      </x:c>
      <x:c r="I123" s="21" t="str">
        <x:v>standalone_primary_report</x:v>
      </x:c>
      <x:c r="J123" s="21" t="str">
        <x:v>Photonics-assisted joint radar and communication system based on an optoelectronic oscillator</x:v>
      </x:c>
      <x:c r="K123" s="21" t="str">
        <x:v>Xue Z.; Li S.; Xue X.; Zheng X.; Zhou B.</x:v>
      </x:c>
      <x:c r="L123" s="23" t="str">
        <x:v>2021</x:v>
      </x:c>
      <x:c r="M123" s="21" t="str">
        <x:v>Optics Express</x:v>
      </x:c>
      <x:c r="N123" s="21" t="str">
        <x:v>10.1364/oe.430910</x:v>
      </x:c>
      <x:c r="O123" s="21" t="str">
        <x:v>https://doi.org/10.1364/oe.430910</x:v>
      </x:c>
      <x:c r="P123" s="21" t="str">
        <x:v>Article</x:v>
      </x:c>
      <x:c r="Q123" s="23" t="str">
        <x:v>12</x:v>
      </x:c>
      <x:c r="R123" s="23" t="str">
        <x:v>23</x:v>
      </x:c>
      <x:c r="S123" s="23" t="str">
        <x:v>1</x:v>
      </x:c>
      <x:c r="T123" s="23" t="str">
        <x:v>0</x:v>
      </x:c>
      <x:c r="U123" s="23" t="str">
        <x:v>0</x:v>
      </x:c>
      <x:c r="V123" s="23" t="str">
        <x:v>0</x:v>
      </x:c>
      <x:c r="W123" s="23" t="str">
        <x:v>0</x:v>
      </x:c>
      <x:c r="X123" s="23" t="str">
        <x:v>0</x:v>
      </x:c>
      <x:c r="Y123" s="21" t="str">
        <x:v>eligible_with_study_context</x:v>
      </x:c>
      <x:c r="Z123" s="21" t="str">
        <x:v>complete</x:v>
      </x:c>
      <x:c r="AA123" s="21" t="str">
        <x:v>Source SCR-00896 supplies 12 evidence, 23 metric, and 1 governed tradeoff rows; use gate: eligible_with_study_context.</x:v>
      </x:c>
    </x:row>
    <x:row r="124" ht="42" customHeight="1">
      <x:c r="A124" s="21" t="str">
        <x:v>STC-SINGLETON-SCR-00899</x:v>
      </x:c>
      <x:c r="B124" s="21" t="str">
        <x:v>OISAC_SCR00899</x:v>
      </x:c>
      <x:c r="C124" s="21" t="str">
        <x:v>RPT-SCR-00899-01</x:v>
      </x:c>
      <x:c r="D124" s="21" t="str">
        <x:v>SCR-00899</x:v>
      </x:c>
      <x:c r="E124" s="21" t="str">
        <x:v>OISAC_SCR00899</x:v>
      </x:c>
      <x:c r="F124" s="21" t="str">
        <x:v>\cite{OISAC_SCR00899}</x:v>
      </x:c>
      <x:c r="G124" s="21" t="str">
        <x:v>primary_source</x:v>
      </x:c>
      <x:c r="H124" s="21" t="str">
        <x:v>none</x:v>
      </x:c>
      <x:c r="I124" s="21" t="str">
        <x:v>standalone_primary_report</x:v>
      </x:c>
      <x:c r="J124" s="21" t="str">
        <x:v>Photonic-assisted generation of fast switchable multi-format LFM waveforms with a tuned bandwidth for a joint radar-communication system</x:v>
      </x:c>
      <x:c r="K124" s="21" t="str">
        <x:v>Bai Q.; Ma J.</x:v>
      </x:c>
      <x:c r="L124" s="23" t="str">
        <x:v>2025</x:v>
      </x:c>
      <x:c r="M124" s="21" t="str">
        <x:v>Optics Communications</x:v>
      </x:c>
      <x:c r="N124" s="21" t="str">
        <x:v>10.1016/j.optcom.2024.131097</x:v>
      </x:c>
      <x:c r="O124" s="21" t="str">
        <x:v>https://doi.org/10.1016/j.optcom.2024.131097</x:v>
      </x:c>
      <x:c r="P124" s="21" t="str">
        <x:v>Article</x:v>
      </x:c>
      <x:c r="Q124" s="23" t="str">
        <x:v>13</x:v>
      </x:c>
      <x:c r="R124" s="23" t="str">
        <x:v>19</x:v>
      </x:c>
      <x:c r="S124" s="23" t="str">
        <x:v>1</x:v>
      </x:c>
      <x:c r="T124" s="23" t="str">
        <x:v>0</x:v>
      </x:c>
      <x:c r="U124" s="23" t="str">
        <x:v>0</x:v>
      </x:c>
      <x:c r="V124" s="23" t="str">
        <x:v>0</x:v>
      </x:c>
      <x:c r="W124" s="23" t="str">
        <x:v>0</x:v>
      </x:c>
      <x:c r="X124" s="23" t="str">
        <x:v>0</x:v>
      </x:c>
      <x:c r="Y124" s="21" t="str">
        <x:v>eligible_with_study_context</x:v>
      </x:c>
      <x:c r="Z124" s="21" t="str">
        <x:v>complete</x:v>
      </x:c>
      <x:c r="AA124" s="21" t="str">
        <x:v>Source SCR-00899 supplies 13 evidence, 19 metric, and 1 governed tradeoff rows; use gate: eligible_with_study_context.</x:v>
      </x:c>
    </x:row>
    <x:row r="125" ht="42" customHeight="1">
      <x:c r="A125" s="21" t="str">
        <x:v>STC-SINGLETON-SCR-00902</x:v>
      </x:c>
      <x:c r="B125" s="21" t="str">
        <x:v>OISAC_SCR00902</x:v>
      </x:c>
      <x:c r="C125" s="21" t="str">
        <x:v>RPT-SCR-00902-01</x:v>
      </x:c>
      <x:c r="D125" s="21" t="str">
        <x:v>SCR-00902</x:v>
      </x:c>
      <x:c r="E125" s="21" t="str">
        <x:v>OISAC_SCR00902</x:v>
      </x:c>
      <x:c r="F125" s="21" t="str">
        <x:v>\cite{OISAC_SCR00902}</x:v>
      </x:c>
      <x:c r="G125" s="21" t="str">
        <x:v>primary_source</x:v>
      </x:c>
      <x:c r="H125" s="21" t="str">
        <x:v>none</x:v>
      </x:c>
      <x:c r="I125" s="21" t="str">
        <x:v>standalone_primary_report</x:v>
      </x:c>
      <x:c r="J125" s="21" t="str">
        <x:v>Bidirectional Retroreflective Optical ISAC Using Time Division Duplexing and Clipped OFDM</x:v>
      </x:c>
      <x:c r="K125" s="21" t="str">
        <x:v>H. Wang; C. Chen; Z. Zeng; S. Shao; H. Haas</x:v>
      </x:c>
      <x:c r="L125" s="23" t="str">
        <x:v>2025</x:v>
      </x:c>
      <x:c r="M125" s="21" t="str">
        <x:v>IEEE Photonics Technology Letters</x:v>
      </x:c>
      <x:c r="N125" s="21" t="str">
        <x:v>10.1109/lpt.2025.3541038</x:v>
      </x:c>
      <x:c r="O125" s="21" t="str">
        <x:v>https://doi.org/10.1109/lpt.2025.3541038</x:v>
      </x:c>
      <x:c r="P125" s="21" t="str">
        <x:v>IEEE Journals</x:v>
      </x:c>
      <x:c r="Q125" s="23" t="str">
        <x:v>11</x:v>
      </x:c>
      <x:c r="R125" s="23" t="str">
        <x:v>15</x:v>
      </x:c>
      <x:c r="S125" s="23" t="str">
        <x:v>2</x:v>
      </x:c>
      <x:c r="T125" s="23" t="str">
        <x:v>0</x:v>
      </x:c>
      <x:c r="U125" s="23" t="str">
        <x:v>0</x:v>
      </x:c>
      <x:c r="V125" s="23" t="str">
        <x:v>0</x:v>
      </x:c>
      <x:c r="W125" s="23" t="str">
        <x:v>0</x:v>
      </x:c>
      <x:c r="X125" s="23" t="str">
        <x:v>0</x:v>
      </x:c>
      <x:c r="Y125" s="21" t="str">
        <x:v>eligible_with_study_context</x:v>
      </x:c>
      <x:c r="Z125" s="21" t="str">
        <x:v>complete</x:v>
      </x:c>
      <x:c r="AA125" s="21" t="str">
        <x:v>Source SCR-00902 supplies 11 evidence, 15 metric, and 2 governed tradeoff rows; use gate: eligible_with_study_context.</x:v>
      </x:c>
    </x:row>
    <x:row r="126" ht="42" customHeight="1">
      <x:c r="A126" s="21" t="str">
        <x:v>STC-SINGLETON-SCR-00903</x:v>
      </x:c>
      <x:c r="B126" s="21" t="str">
        <x:v>OISAC_SCR00903</x:v>
      </x:c>
      <x:c r="C126" s="21" t="str">
        <x:v>RPT-SCR-00903-01</x:v>
      </x:c>
      <x:c r="D126" s="21" t="str">
        <x:v>SCR-00903</x:v>
      </x:c>
      <x:c r="E126" s="21" t="str">
        <x:v>OISAC_SCR00903</x:v>
      </x:c>
      <x:c r="F126" s="21" t="str">
        <x:v>\cite{OISAC_SCR00903}</x:v>
      </x:c>
      <x:c r="G126" s="21" t="str">
        <x:v>primary_source</x:v>
      </x:c>
      <x:c r="H126" s="21" t="str">
        <x:v>none</x:v>
      </x:c>
      <x:c r="I126" s="21" t="str">
        <x:v>standalone_primary_report</x:v>
      </x:c>
      <x:c r="J126" s="21" t="str">
        <x:v>Phase-Coded FMCW for Optical Integrated Sensing and Communication</x:v>
      </x:c>
      <x:c r="K126" s="21" t="str">
        <x:v>T. Zhang; Z. Yan; A. Pang; A. Dang</x:v>
      </x:c>
      <x:c r="L126" s="23" t="str">
        <x:v>2024</x:v>
      </x:c>
      <x:c r="M126" s="21" t="str">
        <x:v>2024 Asia Communications and Photonics Conference (ACP) and International Conference on Information Photonics and Optical Communications (IPOC)</x:v>
      </x:c>
      <x:c r="N126" s="21" t="str">
        <x:v>10.1109/acp/ipoc63121.2024.10809937</x:v>
      </x:c>
      <x:c r="O126" s="21" t="str">
        <x:v>https://doi.org/10.1109/acp/ipoc63121.2024.10809937</x:v>
      </x:c>
      <x:c r="P126" s="21" t="str">
        <x:v>IEEE Conferences</x:v>
      </x:c>
      <x:c r="Q126" s="23" t="str">
        <x:v>9</x:v>
      </x:c>
      <x:c r="R126" s="23" t="str">
        <x:v>11</x:v>
      </x:c>
      <x:c r="S126" s="23" t="str">
        <x:v>0</x:v>
      </x:c>
      <x:c r="T126" s="23" t="str">
        <x:v>0</x:v>
      </x:c>
      <x:c r="U126" s="23" t="str">
        <x:v>0</x:v>
      </x:c>
      <x:c r="V126" s="23" t="str">
        <x:v>0</x:v>
      </x:c>
      <x:c r="W126" s="23" t="str">
        <x:v>0</x:v>
      </x:c>
      <x:c r="X126" s="23" t="str">
        <x:v>0</x:v>
      </x:c>
      <x:c r="Y126" s="21" t="str">
        <x:v>eligible_with_study_context</x:v>
      </x:c>
      <x:c r="Z126" s="21" t="str">
        <x:v>complete</x:v>
      </x:c>
      <x:c r="AA126" s="21" t="str">
        <x:v>Source SCR-00903 supplies 9 evidence, 11 metric, and 0 governed tradeoff rows; use gate: eligible_with_study_context.</x:v>
      </x:c>
    </x:row>
    <x:row r="127" ht="42" customHeight="1">
      <x:c r="A127" s="21" t="str">
        <x:v>STC-SINGLETON-SCR-00904</x:v>
      </x:c>
      <x:c r="B127" s="21" t="str">
        <x:v>OISAC_SCR00904</x:v>
      </x:c>
      <x:c r="C127" s="21" t="str">
        <x:v>RPT-SCR-00904-01</x:v>
      </x:c>
      <x:c r="D127" s="21" t="str">
        <x:v>SCR-00904</x:v>
      </x:c>
      <x:c r="E127" s="21" t="str">
        <x:v>OISAC_SCR00904</x:v>
      </x:c>
      <x:c r="F127" s="21" t="str">
        <x:v>\cite{OISAC_SCR00904}</x:v>
      </x:c>
      <x:c r="G127" s="21" t="str">
        <x:v>primary_source</x:v>
      </x:c>
      <x:c r="H127" s="21" t="str">
        <x:v>none</x:v>
      </x:c>
      <x:c r="I127" s="21" t="str">
        <x:v>standalone_primary_report</x:v>
      </x:c>
      <x:c r="J127" s="21" t="str">
        <x:v>Gaussian Pulse-Based PSS-PPM Scheme for Optical Integrated Sensing and Communication Systems</x:v>
      </x:c>
      <x:c r="K127" s="21" t="str">
        <x:v>F. Tian; J. Zhao; Y. Zhang; G. Zheng; T. Xu</x:v>
      </x:c>
      <x:c r="L127" s="23" t="str">
        <x:v>2025</x:v>
      </x:c>
      <x:c r="M127" s="21" t="str">
        <x:v>2025 Asia Communications and Photonics Conference (ACP)</x:v>
      </x:c>
      <x:c r="N127" s="21" t="str">
        <x:v>10.1109/acp66871.2025.11350501</x:v>
      </x:c>
      <x:c r="O127" s="21" t="str">
        <x:v>https://doi.org/10.1109/acp66871.2025.11350501</x:v>
      </x:c>
      <x:c r="P127" s="21" t="str">
        <x:v>IEEE Conferences</x:v>
      </x:c>
      <x:c r="Q127" s="23" t="str">
        <x:v>10</x:v>
      </x:c>
      <x:c r="R127" s="23" t="str">
        <x:v>13</x:v>
      </x:c>
      <x:c r="S127" s="23" t="str">
        <x:v>0</x:v>
      </x:c>
      <x:c r="T127" s="23" t="str">
        <x:v>0</x:v>
      </x:c>
      <x:c r="U127" s="23" t="str">
        <x:v>0</x:v>
      </x:c>
      <x:c r="V127" s="23" t="str">
        <x:v>0</x:v>
      </x:c>
      <x:c r="W127" s="23" t="str">
        <x:v>0</x:v>
      </x:c>
      <x:c r="X127" s="23" t="str">
        <x:v>0</x:v>
      </x:c>
      <x:c r="Y127" s="21" t="str">
        <x:v>eligible_with_study_context</x:v>
      </x:c>
      <x:c r="Z127" s="21" t="str">
        <x:v>complete</x:v>
      </x:c>
      <x:c r="AA127" s="21" t="str">
        <x:v>Source SCR-00904 supplies 10 evidence, 13 metric, and 0 governed tradeoff rows; use gate: eligible_with_study_context.</x:v>
      </x:c>
    </x:row>
    <x:row r="128" ht="42" customHeight="1">
      <x:c r="A128" s="21" t="str">
        <x:v>STC-SINGLETON-SCR-00905</x:v>
      </x:c>
      <x:c r="B128" s="21" t="str">
        <x:v>OISAC_SCR00905</x:v>
      </x:c>
      <x:c r="C128" s="21" t="str">
        <x:v>RPT-SCR-00905-01</x:v>
      </x:c>
      <x:c r="D128" s="21" t="str">
        <x:v>SCR-00905</x:v>
      </x:c>
      <x:c r="E128" s="21" t="str">
        <x:v>OISAC_SCR00905</x:v>
      </x:c>
      <x:c r="F128" s="21" t="str">
        <x:v>\cite{OISAC_SCR00905}</x:v>
      </x:c>
      <x:c r="G128" s="21" t="str">
        <x:v>primary_source</x:v>
      </x:c>
      <x:c r="H128" s="21" t="str">
        <x:v>none</x:v>
      </x:c>
      <x:c r="I128" s="21" t="str">
        <x:v>standalone_primary_report</x:v>
      </x:c>
      <x:c r="J128" s="21" t="str">
        <x:v>Retroreflective Optical ISAC Supporting 3D Positioning in Indoor Environments</x:v>
      </x:c>
      <x:c r="K128" s="21" t="str">
        <x:v>H. Wang; Z. Zeng; C. Chen; B. Zhu; S. Shao; M. Liu</x:v>
      </x:c>
      <x:c r="L128" s="23" t="str">
        <x:v>2024</x:v>
      </x:c>
      <x:c r="M128" s="21" t="str">
        <x:v>2024 Asia Communications and Photonics Conference (ACP) and International Conference on Information Photonics and Optical Communications (IPOC)</x:v>
      </x:c>
      <x:c r="N128" s="21" t="str">
        <x:v>10.1109/acp/ipoc63121.2024.10809915</x:v>
      </x:c>
      <x:c r="O128" s="21" t="str">
        <x:v>https://doi.org/10.1109/acp/ipoc63121.2024.10809915</x:v>
      </x:c>
      <x:c r="P128" s="21" t="str">
        <x:v>IEEE Conferences</x:v>
      </x:c>
      <x:c r="Q128" s="23" t="str">
        <x:v>10</x:v>
      </x:c>
      <x:c r="R128" s="23" t="str">
        <x:v>16</x:v>
      </x:c>
      <x:c r="S128" s="23" t="str">
        <x:v>0</x:v>
      </x:c>
      <x:c r="T128" s="23" t="str">
        <x:v>0</x:v>
      </x:c>
      <x:c r="U128" s="23" t="str">
        <x:v>0</x:v>
      </x:c>
      <x:c r="V128" s="23" t="str">
        <x:v>0</x:v>
      </x:c>
      <x:c r="W128" s="23" t="str">
        <x:v>0</x:v>
      </x:c>
      <x:c r="X128" s="23" t="str">
        <x:v>0</x:v>
      </x:c>
      <x:c r="Y128" s="21" t="str">
        <x:v>eligible_with_study_context</x:v>
      </x:c>
      <x:c r="Z128" s="21" t="str">
        <x:v>complete</x:v>
      </x:c>
      <x:c r="AA128" s="21" t="str">
        <x:v>Source SCR-00905 supplies 10 evidence, 16 metric, and 0 governed tradeoff rows; use gate: eligible_with_study_context.</x:v>
      </x:c>
    </x:row>
    <x:row r="129" ht="42" customHeight="1">
      <x:c r="A129" s="21" t="str">
        <x:v>STC-SINGLETON-SCR-00906</x:v>
      </x:c>
      <x:c r="B129" s="21" t="str">
        <x:v>OISAC_SCR00906</x:v>
      </x:c>
      <x:c r="C129" s="21" t="str">
        <x:v>RPT-SCR-00906-01</x:v>
      </x:c>
      <x:c r="D129" s="21" t="str">
        <x:v>SCR-00906</x:v>
      </x:c>
      <x:c r="E129" s="21" t="str">
        <x:v>OISAC_SCR00906</x:v>
      </x:c>
      <x:c r="F129" s="21" t="str">
        <x:v>\cite{OISAC_SCR00906}</x:v>
      </x:c>
      <x:c r="G129" s="21" t="str">
        <x:v>primary_source</x:v>
      </x:c>
      <x:c r="H129" s="21" t="str">
        <x:v>none</x:v>
      </x:c>
      <x:c r="I129" s="21" t="str">
        <x:v>standalone_primary_report</x:v>
      </x:c>
      <x:c r="J129" s="21" t="str">
        <x:v>Quantum Optical Integrated Sensing and Communication With Homodyne BPSK Detection</x:v>
      </x:c>
      <x:c r="K129" s="21" t="str">
        <x:v>I. Krikidis</x:v>
      </x:c>
      <x:c r="L129" s="23" t="str">
        <x:v>2026</x:v>
      </x:c>
      <x:c r="M129" s="21" t="str">
        <x:v>IEEE Wireless Communications Letters</x:v>
      </x:c>
      <x:c r="N129" s="21" t="str">
        <x:v>10.1109/lwc.2026.3654015</x:v>
      </x:c>
      <x:c r="O129" s="21" t="str">
        <x:v>https://doi.org/10.1109/lwc.2026.3654015</x:v>
      </x:c>
      <x:c r="P129" s="21" t="str">
        <x:v>IEEE Journals</x:v>
      </x:c>
      <x:c r="Q129" s="23" t="str">
        <x:v>14</x:v>
      </x:c>
      <x:c r="R129" s="23" t="str">
        <x:v>23</x:v>
      </x:c>
      <x:c r="S129" s="23" t="str">
        <x:v>2</x:v>
      </x:c>
      <x:c r="T129" s="23" t="str">
        <x:v>0</x:v>
      </x:c>
      <x:c r="U129" s="23" t="str">
        <x:v>0</x:v>
      </x:c>
      <x:c r="V129" s="23" t="str">
        <x:v>0</x:v>
      </x:c>
      <x:c r="W129" s="23" t="str">
        <x:v>0</x:v>
      </x:c>
      <x:c r="X129" s="23" t="str">
        <x:v>0</x:v>
      </x:c>
      <x:c r="Y129" s="21" t="str">
        <x:v>eligible_with_study_context</x:v>
      </x:c>
      <x:c r="Z129" s="21" t="str">
        <x:v>complete</x:v>
      </x:c>
      <x:c r="AA129" s="21" t="str">
        <x:v>Source SCR-00906 supplies 14 evidence, 23 metric, and 2 governed tradeoff rows; use gate: eligible_with_study_context.</x:v>
      </x:c>
    </x:row>
    <x:row r="130" ht="42" customHeight="1">
      <x:c r="A130" s="21" t="str">
        <x:v>STC-SINGLETON-SCR-00908</x:v>
      </x:c>
      <x:c r="B130" s="21" t="str">
        <x:v>OISAC_SCR00908</x:v>
      </x:c>
      <x:c r="C130" s="21" t="str">
        <x:v>RPT-SCR-00908-01</x:v>
      </x:c>
      <x:c r="D130" s="21" t="str">
        <x:v>SCR-00908</x:v>
      </x:c>
      <x:c r="E130" s="21" t="str">
        <x:v>OISAC_SCR00908</x:v>
      </x:c>
      <x:c r="F130" s="21" t="str">
        <x:v>\cite{OISAC_SCR00908}</x:v>
      </x:c>
      <x:c r="G130" s="21" t="str">
        <x:v>primary_source</x:v>
      </x:c>
      <x:c r="H130" s="21" t="str">
        <x:v>none</x:v>
      </x:c>
      <x:c r="I130" s="21" t="str">
        <x:v>standalone_primary_report</x:v>
      </x:c>
      <x:c r="J130" s="21" t="str">
        <x:v>Optical ISAC: Fundamental Performance Limits and Transceiver Design</x:v>
      </x:c>
      <x:c r="K130" s="21" t="str">
        <x:v>A. G. Khorasgani; M. Mirmohseni; A. Elzanaty</x:v>
      </x:c>
      <x:c r="L130" s="23" t="str">
        <x:v>2024</x:v>
      </x:c>
      <x:c r="M130" s="21" t="str">
        <x:v>2024 IEEE Globecom Workshops (GC Wkshps)</x:v>
      </x:c>
      <x:c r="N130" s="21" t="str">
        <x:v>10.1109/gcwkshp64532.2024.11101062</x:v>
      </x:c>
      <x:c r="O130" s="21" t="str">
        <x:v>https://doi.org/10.1109/gcwkshp64532.2024.11101062</x:v>
      </x:c>
      <x:c r="P130" s="21" t="str">
        <x:v>IEEE Conferences</x:v>
      </x:c>
      <x:c r="Q130" s="23" t="str">
        <x:v>16</x:v>
      </x:c>
      <x:c r="R130" s="23" t="str">
        <x:v>25</x:v>
      </x:c>
      <x:c r="S130" s="23" t="str">
        <x:v>4</x:v>
      </x:c>
      <x:c r="T130" s="23" t="str">
        <x:v>0</x:v>
      </x:c>
      <x:c r="U130" s="23" t="str">
        <x:v>0</x:v>
      </x:c>
      <x:c r="V130" s="23" t="str">
        <x:v>0</x:v>
      </x:c>
      <x:c r="W130" s="23" t="str">
        <x:v>0</x:v>
      </x:c>
      <x:c r="X130" s="23" t="str">
        <x:v>0</x:v>
      </x:c>
      <x:c r="Y130" s="21" t="str">
        <x:v>eligible_with_study_context</x:v>
      </x:c>
      <x:c r="Z130" s="21" t="str">
        <x:v>complete</x:v>
      </x:c>
      <x:c r="AA130" s="21" t="str">
        <x:v>Source SCR-00908 supplies 16 evidence, 25 metric, and 4 governed tradeoff rows; use gate: eligible_with_study_context.</x:v>
      </x:c>
    </x:row>
    <x:row r="131" ht="42" customHeight="1">
      <x:c r="A131" s="21" t="str">
        <x:v>STC-SINGLETON-SCR-00909</x:v>
      </x:c>
      <x:c r="B131" s="21" t="str">
        <x:v>OISAC_SCR00909</x:v>
      </x:c>
      <x:c r="C131" s="21" t="str">
        <x:v>RPT-SCR-00909-01</x:v>
      </x:c>
      <x:c r="D131" s="21" t="str">
        <x:v>SCR-00909</x:v>
      </x:c>
      <x:c r="E131" s="21" t="str">
        <x:v>OISAC_SCR00909</x:v>
      </x:c>
      <x:c r="F131" s="21" t="str">
        <x:v>\cite{OISAC_SCR00909}</x:v>
      </x:c>
      <x:c r="G131" s="21" t="str">
        <x:v>primary_source</x:v>
      </x:c>
      <x:c r="H131" s="21" t="str">
        <x:v>none</x:v>
      </x:c>
      <x:c r="I131" s="21" t="str">
        <x:v>standalone_primary_report</x:v>
      </x:c>
      <x:c r="J131" s="21" t="str">
        <x:v>Free Space Optical Integrated Sensing and Communication Based on LFM and CPM</x:v>
      </x:c>
      <x:c r="K131" s="21" t="str">
        <x:v>Y. Wen; F. Yang; J. Song; Z. Han</x:v>
      </x:c>
      <x:c r="L131" s="23" t="str">
        <x:v>2024</x:v>
      </x:c>
      <x:c r="M131" s="21" t="str">
        <x:v>IEEE Communications Letters</x:v>
      </x:c>
      <x:c r="N131" s="21" t="str">
        <x:v>10.1109/lcomm.2023.3332658</x:v>
      </x:c>
      <x:c r="O131" s="21" t="str">
        <x:v>https://doi.org/10.1109/lcomm.2023.3332658</x:v>
      </x:c>
      <x:c r="P131" s="21" t="str">
        <x:v>IEEE Journals</x:v>
      </x:c>
      <x:c r="Q131" s="23" t="str">
        <x:v>16</x:v>
      </x:c>
      <x:c r="R131" s="23" t="str">
        <x:v>26</x:v>
      </x:c>
      <x:c r="S131" s="23" t="str">
        <x:v>4</x:v>
      </x:c>
      <x:c r="T131" s="23" t="str">
        <x:v>0</x:v>
      </x:c>
      <x:c r="U131" s="23" t="str">
        <x:v>0</x:v>
      </x:c>
      <x:c r="V131" s="23" t="str">
        <x:v>0</x:v>
      </x:c>
      <x:c r="W131" s="23" t="str">
        <x:v>0</x:v>
      </x:c>
      <x:c r="X131" s="23" t="str">
        <x:v>0</x:v>
      </x:c>
      <x:c r="Y131" s="21" t="str">
        <x:v>eligible_with_study_context</x:v>
      </x:c>
      <x:c r="Z131" s="21" t="str">
        <x:v>complete</x:v>
      </x:c>
      <x:c r="AA131" s="21" t="str">
        <x:v>Source SCR-00909 supplies 16 evidence, 26 metric, and 4 governed tradeoff rows; use gate: eligible_with_study_context.</x:v>
      </x:c>
    </x:row>
    <x:row r="132" ht="42" customHeight="1">
      <x:c r="A132" s="21" t="str">
        <x:v>STC-SINGLETON-SCR-00910</x:v>
      </x:c>
      <x:c r="B132" s="21" t="str">
        <x:v>OISAC_SCR00910</x:v>
      </x:c>
      <x:c r="C132" s="21" t="str">
        <x:v>RPT-SCR-00910-01</x:v>
      </x:c>
      <x:c r="D132" s="21" t="str">
        <x:v>SCR-00910</x:v>
      </x:c>
      <x:c r="E132" s="21" t="str">
        <x:v>OISAC_SCR00910</x:v>
      </x:c>
      <x:c r="F132" s="21" t="str">
        <x:v>\cite{OISAC_SCR00910}</x:v>
      </x:c>
      <x:c r="G132" s="21" t="str">
        <x:v>primary_source</x:v>
      </x:c>
      <x:c r="H132" s="21" t="str">
        <x:v>none</x:v>
      </x:c>
      <x:c r="I132" s="21" t="str">
        <x:v>standalone_primary_report</x:v>
      </x:c>
      <x:c r="J132" s="21" t="str">
        <x:v>Optical Integrated Sensing and Communication for Cooperative Mobile Robotics: Design and Experiments</x:v>
      </x:c>
      <x:c r="K132" s="21" t="str">
        <x:v>S. Wang; H. Chen</x:v>
      </x:c>
      <x:c r="L132" s="23" t="str">
        <x:v>2023</x:v>
      </x:c>
      <x:c r="M132" s="21" t="str">
        <x:v>2023 21st International Symposium on Modeling and Optimization in Mobile, Ad Hoc, and Wireless Networks (WiOpt)</x:v>
      </x:c>
      <x:c r="N132" s="21" t="str">
        <x:v>10.23919/wiopt58741.2023.10349823</x:v>
      </x:c>
      <x:c r="O132" s="21" t="str">
        <x:v>https://doi.org/10.23919/wiopt58741.2023.10349823</x:v>
      </x:c>
      <x:c r="P132" s="21" t="str">
        <x:v>IEEE Conferences</x:v>
      </x:c>
      <x:c r="Q132" s="23" t="str">
        <x:v>17</x:v>
      </x:c>
      <x:c r="R132" s="23" t="str">
        <x:v>30</x:v>
      </x:c>
      <x:c r="S132" s="23" t="str">
        <x:v>4</x:v>
      </x:c>
      <x:c r="T132" s="23" t="str">
        <x:v>0</x:v>
      </x:c>
      <x:c r="U132" s="23" t="str">
        <x:v>0</x:v>
      </x:c>
      <x:c r="V132" s="23" t="str">
        <x:v>0</x:v>
      </x:c>
      <x:c r="W132" s="23" t="str">
        <x:v>0</x:v>
      </x:c>
      <x:c r="X132" s="23" t="str">
        <x:v>0</x:v>
      </x:c>
      <x:c r="Y132" s="21" t="str">
        <x:v>eligible_with_study_context</x:v>
      </x:c>
      <x:c r="Z132" s="21" t="str">
        <x:v>complete</x:v>
      </x:c>
      <x:c r="AA132" s="21" t="str">
        <x:v>Source SCR-00910 supplies 17 evidence, 30 metric, and 4 governed tradeoff rows; use gate: eligible_with_study_context.</x:v>
      </x:c>
    </x:row>
    <x:row r="133" ht="42" customHeight="1">
      <x:c r="A133" s="21" t="str">
        <x:v>STC-SINGLETON-SCR-00912</x:v>
      </x:c>
      <x:c r="B133" s="21" t="str">
        <x:v>OISAC_SCR00912</x:v>
      </x:c>
      <x:c r="C133" s="21" t="str">
        <x:v>RPT-SCR-00912-01</x:v>
      </x:c>
      <x:c r="D133" s="21" t="str">
        <x:v>SCR-00912</x:v>
      </x:c>
      <x:c r="E133" s="21" t="str">
        <x:v>OISAC_SCR00912</x:v>
      </x:c>
      <x:c r="F133" s="21" t="str">
        <x:v>\cite{OISAC_SCR00912}</x:v>
      </x:c>
      <x:c r="G133" s="21" t="str">
        <x:v>primary_source</x:v>
      </x:c>
      <x:c r="H133" s="21" t="str">
        <x:v>none</x:v>
      </x:c>
      <x:c r="I133" s="21" t="str">
        <x:v>standalone_primary_report</x:v>
      </x:c>
      <x:c r="J133" s="21" t="str">
        <x:v>Flexible Waveform Design for RO-ISAC Based on OFDM-Embedded Maximum Length Sequence</x:v>
      </x:c>
      <x:c r="K133" s="21" t="str">
        <x:v>J. Du; C. Chen; Z. Zeng; D. Wang; J. Ye; J. Song; H. Haas</x:v>
      </x:c>
      <x:c r="L133" s="23" t="str">
        <x:v>2025</x:v>
      </x:c>
      <x:c r="M133" s="21" t="str">
        <x:v>IEEE Wireless Communications Letters</x:v>
      </x:c>
      <x:c r="N133" s="21" t="str">
        <x:v>10.1109/lwc.2025.3593253</x:v>
      </x:c>
      <x:c r="O133" s="21" t="str">
        <x:v>https://doi.org/10.1109/lwc.2025.3593253</x:v>
      </x:c>
      <x:c r="P133" s="21" t="str">
        <x:v>IEEE Journals</x:v>
      </x:c>
      <x:c r="Q133" s="23" t="str">
        <x:v>12</x:v>
      </x:c>
      <x:c r="R133" s="23" t="str">
        <x:v>24</x:v>
      </x:c>
      <x:c r="S133" s="23" t="str">
        <x:v>1</x:v>
      </x:c>
      <x:c r="T133" s="23" t="str">
        <x:v>0</x:v>
      </x:c>
      <x:c r="U133" s="23" t="str">
        <x:v>0</x:v>
      </x:c>
      <x:c r="V133" s="23" t="str">
        <x:v>0</x:v>
      </x:c>
      <x:c r="W133" s="23" t="str">
        <x:v>0</x:v>
      </x:c>
      <x:c r="X133" s="23" t="str">
        <x:v>0</x:v>
      </x:c>
      <x:c r="Y133" s="21" t="str">
        <x:v>eligible_with_study_context</x:v>
      </x:c>
      <x:c r="Z133" s="21" t="str">
        <x:v>complete</x:v>
      </x:c>
      <x:c r="AA133" s="21" t="str">
        <x:v>Source SCR-00912 supplies 12 evidence, 24 metric, and 1 governed tradeoff rows; use gate: eligible_with_study_context.</x:v>
      </x:c>
    </x:row>
    <x:row r="134" ht="42" customHeight="1">
      <x:c r="A134" s="21" t="str">
        <x:v>STC-SINGLETON-SCR-00913</x:v>
      </x:c>
      <x:c r="B134" s="21" t="str">
        <x:v>OISAC_SCR00913</x:v>
      </x:c>
      <x:c r="C134" s="21" t="str">
        <x:v>RPT-SCR-00913-01</x:v>
      </x:c>
      <x:c r="D134" s="21" t="str">
        <x:v>SCR-00913</x:v>
      </x:c>
      <x:c r="E134" s="21" t="str">
        <x:v>OISAC_SCR00913</x:v>
      </x:c>
      <x:c r="F134" s="21" t="str">
        <x:v>\cite{OISAC_SCR00913}</x:v>
      </x:c>
      <x:c r="G134" s="21" t="str">
        <x:v>primary_source</x:v>
      </x:c>
      <x:c r="H134" s="21" t="str">
        <x:v>none</x:v>
      </x:c>
      <x:c r="I134" s="21" t="str">
        <x:v>standalone_primary_report</x:v>
      </x:c>
      <x:c r="J134" s="21" t="str">
        <x:v>Pulse Sequence Sensing and Pulse Position Modulation for Optical Integrated Sensing and Communication</x:v>
      </x:c>
      <x:c r="K134" s="21" t="str">
        <x:v>Y. Wen; F. Yang; J. Song; Z. Han</x:v>
      </x:c>
      <x:c r="L134" s="23" t="str">
        <x:v>2023</x:v>
      </x:c>
      <x:c r="M134" s="21" t="str">
        <x:v>IEEE Communications Letters</x:v>
      </x:c>
      <x:c r="N134" s="21" t="str">
        <x:v>10.1109/lcomm.2023.3270184</x:v>
      </x:c>
      <x:c r="O134" s="21" t="str">
        <x:v>https://doi.org/10.1109/lcomm.2023.3270184</x:v>
      </x:c>
      <x:c r="P134" s="21" t="str">
        <x:v>IEEE Journals</x:v>
      </x:c>
      <x:c r="Q134" s="23" t="str">
        <x:v>12</x:v>
      </x:c>
      <x:c r="R134" s="23" t="str">
        <x:v>18</x:v>
      </x:c>
      <x:c r="S134" s="23" t="str">
        <x:v>1</x:v>
      </x:c>
      <x:c r="T134" s="23" t="str">
        <x:v>0</x:v>
      </x:c>
      <x:c r="U134" s="23" t="str">
        <x:v>0</x:v>
      </x:c>
      <x:c r="V134" s="23" t="str">
        <x:v>0</x:v>
      </x:c>
      <x:c r="W134" s="23" t="str">
        <x:v>0</x:v>
      </x:c>
      <x:c r="X134" s="23" t="str">
        <x:v>0</x:v>
      </x:c>
      <x:c r="Y134" s="21" t="str">
        <x:v>eligible_with_study_context</x:v>
      </x:c>
      <x:c r="Z134" s="21" t="str">
        <x:v>complete</x:v>
      </x:c>
      <x:c r="AA134" s="21" t="str">
        <x:v>Source SCR-00913 supplies 12 evidence, 18 metric, and 1 governed tradeoff rows; use gate: eligible_with_study_context.</x:v>
      </x:c>
    </x:row>
    <x:row r="135" ht="42" customHeight="1">
      <x:c r="A135" s="21" t="str">
        <x:v>STC-SINGLETON-SCR-00914</x:v>
      </x:c>
      <x:c r="B135" s="21" t="str">
        <x:v>OISAC_SCR00914</x:v>
      </x:c>
      <x:c r="C135" s="21" t="str">
        <x:v>RPT-SCR-00914-01</x:v>
      </x:c>
      <x:c r="D135" s="21" t="str">
        <x:v>SCR-00914</x:v>
      </x:c>
      <x:c r="E135" s="21" t="str">
        <x:v>OISAC_SCR00914</x:v>
      </x:c>
      <x:c r="F135" s="21" t="str">
        <x:v>\cite{OISAC_SCR00914}</x:v>
      </x:c>
      <x:c r="G135" s="21" t="str">
        <x:v>primary_source</x:v>
      </x:c>
      <x:c r="H135" s="21" t="str">
        <x:v>none</x:v>
      </x:c>
      <x:c r="I135" s="21" t="str">
        <x:v>standalone_primary_report</x:v>
      </x:c>
      <x:c r="J135" s="21" t="str">
        <x:v>Optical Integrated Sensing and Communication System Based on Combination of OIRS and PD Array for Mobile Scenarios</x:v>
      </x:c>
      <x:c r="K135" s="21" t="str">
        <x:v>H. Wang; Z. Zhang; Y. Ge; B. Zhu</x:v>
      </x:c>
      <x:c r="L135" s="23" t="str">
        <x:v>2024</x:v>
      </x:c>
      <x:c r="M135" s="21" t="str">
        <x:v>IEEE Transactions on Wireless Communications</x:v>
      </x:c>
      <x:c r="N135" s="21" t="str">
        <x:v>10.1109/twc.2024.3484569</x:v>
      </x:c>
      <x:c r="O135" s="21" t="str">
        <x:v>https://doi.org/10.1109/twc.2024.3484569</x:v>
      </x:c>
      <x:c r="P135" s="21" t="str">
        <x:v>IEEE Journals</x:v>
      </x:c>
      <x:c r="Q135" s="23" t="str">
        <x:v>12</x:v>
      </x:c>
      <x:c r="R135" s="23" t="str">
        <x:v>25</x:v>
      </x:c>
      <x:c r="S135" s="23" t="str">
        <x:v>1</x:v>
      </x:c>
      <x:c r="T135" s="23" t="str">
        <x:v>0</x:v>
      </x:c>
      <x:c r="U135" s="23" t="str">
        <x:v>0</x:v>
      </x:c>
      <x:c r="V135" s="23" t="str">
        <x:v>0</x:v>
      </x:c>
      <x:c r="W135" s="23" t="str">
        <x:v>0</x:v>
      </x:c>
      <x:c r="X135" s="23" t="str">
        <x:v>0</x:v>
      </x:c>
      <x:c r="Y135" s="21" t="str">
        <x:v>eligible_with_study_context</x:v>
      </x:c>
      <x:c r="Z135" s="21" t="str">
        <x:v>complete</x:v>
      </x:c>
      <x:c r="AA135" s="21" t="str">
        <x:v>Source SCR-00914 supplies 12 evidence, 25 metric, and 1 governed tradeoff rows; use gate: eligible_with_study_context.</x:v>
      </x:c>
    </x:row>
    <x:row r="136" ht="42" customHeight="1">
      <x:c r="A136" s="21" t="str">
        <x:v>STC-SINGLETON-SCR-00915</x:v>
      </x:c>
      <x:c r="B136" s="21" t="str">
        <x:v>OISAC_SCR00915</x:v>
      </x:c>
      <x:c r="C136" s="21" t="str">
        <x:v>RPT-SCR-00915-01</x:v>
      </x:c>
      <x:c r="D136" s="21" t="str">
        <x:v>SCR-00915</x:v>
      </x:c>
      <x:c r="E136" s="21" t="str">
        <x:v>OISAC_SCR00915</x:v>
      </x:c>
      <x:c r="F136" s="21" t="str">
        <x:v>\cite{OISAC_SCR00915}</x:v>
      </x:c>
      <x:c r="G136" s="21" t="str">
        <x:v>primary_source</x:v>
      </x:c>
      <x:c r="H136" s="21" t="str">
        <x:v>none</x:v>
      </x:c>
      <x:c r="I136" s="21" t="str">
        <x:v>standalone_primary_report</x:v>
      </x:c>
      <x:c r="J136" s="21" t="str">
        <x:v>UAV-Aided Flying Retroreflective Optical ISAC with Angle Diversity Transmitters</x:v>
      </x:c>
      <x:c r="K136" s="21" t="str">
        <x:v>W. Wang; H. Wang; Z. Zeng; C. He; C. Chen</x:v>
      </x:c>
      <x:c r="L136" s="23" t="str">
        <x:v>2025</x:v>
      </x:c>
      <x:c r="M136" s="21" t="str">
        <x:v>2025 30th OptoElectronics and Communications Conference (OECC) and 2025 International Conference on Photonics in Switching and Computing (PSC)</x:v>
      </x:c>
      <x:c r="N136" s="21" t="str">
        <x:v>10.23919/oecc/psc62146.2025.11110803</x:v>
      </x:c>
      <x:c r="O136" s="21" t="str">
        <x:v>https://doi.org/10.23919/oecc/psc62146.2025.11110803</x:v>
      </x:c>
      <x:c r="P136" s="21" t="str">
        <x:v>IEEE Conferences</x:v>
      </x:c>
      <x:c r="Q136" s="23" t="str">
        <x:v>10</x:v>
      </x:c>
      <x:c r="R136" s="23" t="str">
        <x:v>17</x:v>
      </x:c>
      <x:c r="S136" s="23" t="str">
        <x:v>0</x:v>
      </x:c>
      <x:c r="T136" s="23" t="str">
        <x:v>0</x:v>
      </x:c>
      <x:c r="U136" s="23" t="str">
        <x:v>0</x:v>
      </x:c>
      <x:c r="V136" s="23" t="str">
        <x:v>0</x:v>
      </x:c>
      <x:c r="W136" s="23" t="str">
        <x:v>0</x:v>
      </x:c>
      <x:c r="X136" s="23" t="str">
        <x:v>0</x:v>
      </x:c>
      <x:c r="Y136" s="21" t="str">
        <x:v>eligible_with_study_context</x:v>
      </x:c>
      <x:c r="Z136" s="21" t="str">
        <x:v>complete</x:v>
      </x:c>
      <x:c r="AA136" s="21" t="str">
        <x:v>Source SCR-00915 supplies 10 evidence, 17 metric, and 0 governed tradeoff rows; use gate: eligible_with_study_context.</x:v>
      </x:c>
    </x:row>
    <x:row r="137" ht="42" customHeight="1">
      <x:c r="A137" s="21" t="str">
        <x:v>STC-SINGLETON-SCR-00916</x:v>
      </x:c>
      <x:c r="B137" s="21" t="str">
        <x:v>OISAC_SCR00916</x:v>
      </x:c>
      <x:c r="C137" s="21" t="str">
        <x:v>RPT-SCR-00916-01</x:v>
      </x:c>
      <x:c r="D137" s="21" t="str">
        <x:v>SCR-00916</x:v>
      </x:c>
      <x:c r="E137" s="21" t="str">
        <x:v>OISAC_SCR00916</x:v>
      </x:c>
      <x:c r="F137" s="21" t="str">
        <x:v>\cite{OISAC_SCR00916}</x:v>
      </x:c>
      <x:c r="G137" s="21" t="str">
        <x:v>primary_source</x:v>
      </x:c>
      <x:c r="H137" s="21" t="str">
        <x:v>none</x:v>
      </x:c>
      <x:c r="I137" s="21" t="str">
        <x:v>standalone_primary_report</x:v>
      </x:c>
      <x:c r="J137" s="21" t="str">
        <x:v>Optical Integrated Sensing and Communication Lidar Based on RBPSK-FMCW Joint Waveform and Optical Phased Array</x:v>
      </x:c>
      <x:c r="K137" s="21" t="str">
        <x:v>Y. Chen; W. Zhang; Z. Shen; Y. Long; M. Ye; Y. Yu; C. Wang</x:v>
      </x:c>
      <x:c r="L137" s="23" t="str">
        <x:v>2026</x:v>
      </x:c>
      <x:c r="M137" s="21" t="str">
        <x:v>Journal of Lightwave Technology</x:v>
      </x:c>
      <x:c r="N137" s="21" t="str">
        <x:v>10.1109/jlt.2026.3667571</x:v>
      </x:c>
      <x:c r="O137" s="21" t="str">
        <x:v>https://doi.org/10.1109/jlt.2026.3667571</x:v>
      </x:c>
      <x:c r="P137" s="21" t="str">
        <x:v>IEEE Journals</x:v>
      </x:c>
      <x:c r="Q137" s="23" t="str">
        <x:v>12</x:v>
      </x:c>
      <x:c r="R137" s="23" t="str">
        <x:v>31</x:v>
      </x:c>
      <x:c r="S137" s="23" t="str">
        <x:v>3</x:v>
      </x:c>
      <x:c r="T137" s="23" t="str">
        <x:v>0</x:v>
      </x:c>
      <x:c r="U137" s="23" t="str">
        <x:v>0</x:v>
      </x:c>
      <x:c r="V137" s="23" t="str">
        <x:v>0</x:v>
      </x:c>
      <x:c r="W137" s="23" t="str">
        <x:v>0</x:v>
      </x:c>
      <x:c r="X137" s="23" t="str">
        <x:v>0</x:v>
      </x:c>
      <x:c r="Y137" s="21" t="str">
        <x:v>eligible_with_study_context</x:v>
      </x:c>
      <x:c r="Z137" s="21" t="str">
        <x:v>complete</x:v>
      </x:c>
      <x:c r="AA137" s="21" t="str">
        <x:v>Source SCR-00916 supplies 12 evidence, 31 metric, and 3 governed tradeoff rows; use gate: eligible_with_study_context.</x:v>
      </x:c>
    </x:row>
    <x:row r="138" ht="42" customHeight="1">
      <x:c r="A138" s="21" t="str">
        <x:v>STC-SINGLETON-SCR-00917</x:v>
      </x:c>
      <x:c r="B138" s="21" t="str">
        <x:v>OISAC_SCR00917</x:v>
      </x:c>
      <x:c r="C138" s="21" t="str">
        <x:v>RPT-SCR-00917-01</x:v>
      </x:c>
      <x:c r="D138" s="21" t="str">
        <x:v>SCR-00917</x:v>
      </x:c>
      <x:c r="E138" s="21" t="str">
        <x:v>OISAC_SCR00917</x:v>
      </x:c>
      <x:c r="F138" s="21" t="str">
        <x:v>\cite{OISAC_SCR00917}</x:v>
      </x:c>
      <x:c r="G138" s="21" t="str">
        <x:v>primary_source</x:v>
      </x:c>
      <x:c r="H138" s="21" t="str">
        <x:v>none</x:v>
      </x:c>
      <x:c r="I138" s="21" t="str">
        <x:v>standalone_primary_report</x:v>
      </x:c>
      <x:c r="J138" s="21" t="str">
        <x:v>Integrated Sensing and Communication for UAV Trajectory Optimization in Mixed FSO-RF Networks in Dynamic Weather Conditions</x:v>
      </x:c>
      <x:c r="K138" s="21" t="str">
        <x:v>M. Nafees; M. Baniasadi; J. R. Hopgood; M. Safari; J. S. Thompson</x:v>
      </x:c>
      <x:c r="L138" s="23" t="str">
        <x:v>2025</x:v>
      </x:c>
      <x:c r="M138" s="21" t="str">
        <x:v>2025 IEEE Wireless Communications and Networking Conference (WCNC)</x:v>
      </x:c>
      <x:c r="N138" s="21" t="str">
        <x:v>10.1109/wcnc61545.2025.10978163</x:v>
      </x:c>
      <x:c r="O138" s="21" t="str">
        <x:v>https://doi.org/10.1109/wcnc61545.2025.10978163</x:v>
      </x:c>
      <x:c r="P138" s="21" t="str">
        <x:v>IEEE Conferences</x:v>
      </x:c>
      <x:c r="Q138" s="23" t="str">
        <x:v>11</x:v>
      </x:c>
      <x:c r="R138" s="23" t="str">
        <x:v>19</x:v>
      </x:c>
      <x:c r="S138" s="23" t="str">
        <x:v>0</x:v>
      </x:c>
      <x:c r="T138" s="23" t="str">
        <x:v>0</x:v>
      </x:c>
      <x:c r="U138" s="23" t="str">
        <x:v>0</x:v>
      </x:c>
      <x:c r="V138" s="23" t="str">
        <x:v>0</x:v>
      </x:c>
      <x:c r="W138" s="23" t="str">
        <x:v>0</x:v>
      </x:c>
      <x:c r="X138" s="23" t="str">
        <x:v>0</x:v>
      </x:c>
      <x:c r="Y138" s="21" t="str">
        <x:v>eligible_with_study_context</x:v>
      </x:c>
      <x:c r="Z138" s="21" t="str">
        <x:v>complete</x:v>
      </x:c>
      <x:c r="AA138" s="21" t="str">
        <x:v>Source SCR-00917 supplies 11 evidence, 19 metric, and 0 governed tradeoff rows; use gate: eligible_with_study_context.</x:v>
      </x:c>
    </x:row>
    <x:row r="139" ht="42" customHeight="1">
      <x:c r="A139" s="21" t="str">
        <x:v>STC-SINGLETON-SCR-00918</x:v>
      </x:c>
      <x:c r="B139" s="21" t="str">
        <x:v>OISAC_SCR00918</x:v>
      </x:c>
      <x:c r="C139" s="21" t="str">
        <x:v>RPT-SCR-00918-01</x:v>
      </x:c>
      <x:c r="D139" s="21" t="str">
        <x:v>SCR-00918</x:v>
      </x:c>
      <x:c r="E139" s="21" t="str">
        <x:v>OISAC_SCR00918</x:v>
      </x:c>
      <x:c r="F139" s="21" t="str">
        <x:v>\cite{OISAC_SCR00918}</x:v>
      </x:c>
      <x:c r="G139" s="21" t="str">
        <x:v>primary_source</x:v>
      </x:c>
      <x:c r="H139" s="21" t="str">
        <x:v>none</x:v>
      </x:c>
      <x:c r="I139" s="21" t="str">
        <x:v>standalone_primary_report</x:v>
      </x:c>
      <x:c r="J139" s="21" t="str">
        <x:v>Multiuser Retroreflective Optical ISAC: Waveform Design, Joint Sensing and Multiple Access</x:v>
      </x:c>
      <x:c r="K139" s="21" t="str">
        <x:v>W. Wang; C. Chen; H. Wang; Z. Zeng; D. Wang; J. Ye; M. Kong; M. Liu; H. Haas</x:v>
      </x:c>
      <x:c r="L139" s="23" t="str">
        <x:v>2026</x:v>
      </x:c>
      <x:c r="M139" s="21" t="str">
        <x:v>Journal of Lightwave Technology</x:v>
      </x:c>
      <x:c r="N139" s="21" t="str">
        <x:v>10.1109/jlt.2025.3642513</x:v>
      </x:c>
      <x:c r="O139" s="21" t="str">
        <x:v>https://doi.org/10.1109/jlt.2025.3642513</x:v>
      </x:c>
      <x:c r="P139" s="21" t="str">
        <x:v>IEEE Journals</x:v>
      </x:c>
      <x:c r="Q139" s="23" t="str">
        <x:v>12</x:v>
      </x:c>
      <x:c r="R139" s="23" t="str">
        <x:v>24</x:v>
      </x:c>
      <x:c r="S139" s="23" t="str">
        <x:v>1</x:v>
      </x:c>
      <x:c r="T139" s="23" t="str">
        <x:v>0</x:v>
      </x:c>
      <x:c r="U139" s="23" t="str">
        <x:v>0</x:v>
      </x:c>
      <x:c r="V139" s="23" t="str">
        <x:v>0</x:v>
      </x:c>
      <x:c r="W139" s="23" t="str">
        <x:v>0</x:v>
      </x:c>
      <x:c r="X139" s="23" t="str">
        <x:v>0</x:v>
      </x:c>
      <x:c r="Y139" s="21" t="str">
        <x:v>eligible_with_study_context</x:v>
      </x:c>
      <x:c r="Z139" s="21" t="str">
        <x:v>complete</x:v>
      </x:c>
      <x:c r="AA139" s="21" t="str">
        <x:v>Source SCR-00918 supplies 12 evidence, 24 metric, and 1 governed tradeoff rows; use gate: eligible_with_study_context.</x:v>
      </x:c>
    </x:row>
    <x:row r="140" ht="42" customHeight="1">
      <x:c r="A140" s="21" t="str">
        <x:v>STC-SINGLETON-SCR-00919</x:v>
      </x:c>
      <x:c r="B140" s="21" t="str">
        <x:v>OISAC_SCR00919</x:v>
      </x:c>
      <x:c r="C140" s="21" t="str">
        <x:v>RPT-SCR-00919-01</x:v>
      </x:c>
      <x:c r="D140" s="21" t="str">
        <x:v>SCR-00919</x:v>
      </x:c>
      <x:c r="E140" s="21" t="str">
        <x:v>OISAC_SCR00919</x:v>
      </x:c>
      <x:c r="F140" s="21" t="str">
        <x:v>\cite{OISAC_SCR00919}</x:v>
      </x:c>
      <x:c r="G140" s="21" t="str">
        <x:v>primary_source</x:v>
      </x:c>
      <x:c r="H140" s="21" t="str">
        <x:v>none</x:v>
      </x:c>
      <x:c r="I140" s="21" t="str">
        <x:v>standalone_primary_report</x:v>
      </x:c>
      <x:c r="J140" s="21" t="str">
        <x:v>Full-Duplex RO-ISAC System: Wavelength Division Duplexing and Hybrid Waveform Design</x:v>
      </x:c>
      <x:c r="K140" s="21" t="str">
        <x:v>S. Chen; C. Chen; Z. Zeng; Y. Yang; H. Haas</x:v>
      </x:c>
      <x:c r="L140" s="23" t="str">
        <x:v>2025</x:v>
      </x:c>
      <x:c r="M140" s="21" t="str">
        <x:v>IEEE Photonics Technology Letters</x:v>
      </x:c>
      <x:c r="N140" s="21" t="str">
        <x:v>10.1109/lpt.2025.3570997</x:v>
      </x:c>
      <x:c r="O140" s="21" t="str">
        <x:v>https://doi.org/10.1109/lpt.2025.3570997</x:v>
      </x:c>
      <x:c r="P140" s="21" t="str">
        <x:v>IEEE Journals</x:v>
      </x:c>
      <x:c r="Q140" s="23" t="str">
        <x:v>11</x:v>
      </x:c>
      <x:c r="R140" s="23" t="str">
        <x:v>18</x:v>
      </x:c>
      <x:c r="S140" s="23" t="str">
        <x:v>2</x:v>
      </x:c>
      <x:c r="T140" s="23" t="str">
        <x:v>0</x:v>
      </x:c>
      <x:c r="U140" s="23" t="str">
        <x:v>0</x:v>
      </x:c>
      <x:c r="V140" s="23" t="str">
        <x:v>0</x:v>
      </x:c>
      <x:c r="W140" s="23" t="str">
        <x:v>0</x:v>
      </x:c>
      <x:c r="X140" s="23" t="str">
        <x:v>0</x:v>
      </x:c>
      <x:c r="Y140" s="21" t="str">
        <x:v>eligible_with_study_context</x:v>
      </x:c>
      <x:c r="Z140" s="21" t="str">
        <x:v>complete</x:v>
      </x:c>
      <x:c r="AA140" s="21" t="str">
        <x:v>Source SCR-00919 supplies 11 evidence, 18 metric, and 2 governed tradeoff rows; use gate: eligible_with_study_context.</x:v>
      </x:c>
    </x:row>
    <x:row r="141" ht="42" customHeight="1">
      <x:c r="A141" s="21" t="str">
        <x:v>STC-SINGLETON-SCR-00920</x:v>
      </x:c>
      <x:c r="B141" s="21" t="str">
        <x:v>OISAC_SCR00920</x:v>
      </x:c>
      <x:c r="C141" s="21" t="str">
        <x:v>RPT-SCR-00920-01</x:v>
      </x:c>
      <x:c r="D141" s="21" t="str">
        <x:v>SCR-00920</x:v>
      </x:c>
      <x:c r="E141" s="21" t="str">
        <x:v>OISAC_SCR00920</x:v>
      </x:c>
      <x:c r="F141" s="21" t="str">
        <x:v>\cite{OISAC_SCR00920}</x:v>
      </x:c>
      <x:c r="G141" s="21" t="str">
        <x:v>primary_source</x:v>
      </x:c>
      <x:c r="H141" s="21" t="str">
        <x:v>none</x:v>
      </x:c>
      <x:c r="I141" s="21" t="str">
        <x:v>standalone_primary_report</x:v>
      </x:c>
      <x:c r="J141" s="21" t="str">
        <x:v>Experimental Demonstration of Multi-User Full-Duplex RO-ISAC System</x:v>
      </x:c>
      <x:c r="K141" s="21" t="str">
        <x:v>S. Chen; Z. Zeng; C. Chen</x:v>
      </x:c>
      <x:c r="L141" s="23" t="str">
        <x:v>2025</x:v>
      </x:c>
      <x:c r="M141" s="21" t="str">
        <x:v>2025 Asia Communications and Photonics Conference (ACP)</x:v>
      </x:c>
      <x:c r="N141" s="21" t="str">
        <x:v>10.1109/acp66871.2025.11349803</x:v>
      </x:c>
      <x:c r="O141" s="21" t="str">
        <x:v>https://doi.org/10.1109/acp66871.2025.11349803</x:v>
      </x:c>
      <x:c r="P141" s="21" t="str">
        <x:v>IEEE Conferences</x:v>
      </x:c>
      <x:c r="Q141" s="23" t="str">
        <x:v>13</x:v>
      </x:c>
      <x:c r="R141" s="23" t="str">
        <x:v>25</x:v>
      </x:c>
      <x:c r="S141" s="23" t="str">
        <x:v>3</x:v>
      </x:c>
      <x:c r="T141" s="23" t="str">
        <x:v>0</x:v>
      </x:c>
      <x:c r="U141" s="23" t="str">
        <x:v>0</x:v>
      </x:c>
      <x:c r="V141" s="23" t="str">
        <x:v>0</x:v>
      </x:c>
      <x:c r="W141" s="23" t="str">
        <x:v>0</x:v>
      </x:c>
      <x:c r="X141" s="23" t="str">
        <x:v>0</x:v>
      </x:c>
      <x:c r="Y141" s="21" t="str">
        <x:v>eligible_with_study_context</x:v>
      </x:c>
      <x:c r="Z141" s="21" t="str">
        <x:v>complete</x:v>
      </x:c>
      <x:c r="AA141" s="21" t="str">
        <x:v>Source SCR-00920 supplies 13 evidence, 25 metric, and 3 governed tradeoff rows; use gate: eligible_with_study_context.</x:v>
      </x:c>
    </x:row>
    <x:row r="142" ht="42" customHeight="1">
      <x:c r="A142" s="21" t="str">
        <x:v>STC-SINGLETON-SCR-00922</x:v>
      </x:c>
      <x:c r="B142" s="21" t="str">
        <x:v>OISAC_SCR00922</x:v>
      </x:c>
      <x:c r="C142" s="21" t="str">
        <x:v>RPT-SCR-00922-01</x:v>
      </x:c>
      <x:c r="D142" s="21" t="str">
        <x:v>SCR-00922</x:v>
      </x:c>
      <x:c r="E142" s="21" t="str">
        <x:v>OISAC_SCR00922</x:v>
      </x:c>
      <x:c r="F142" s="21" t="str">
        <x:v>\cite{OISAC_SCR00922}</x:v>
      </x:c>
      <x:c r="G142" s="21" t="str">
        <x:v>primary_source</x:v>
      </x:c>
      <x:c r="H142" s="21" t="str">
        <x:v>none</x:v>
      </x:c>
      <x:c r="I142" s="21" t="str">
        <x:v>standalone_primary_report</x:v>
      </x:c>
      <x:c r="J142" s="21" t="str">
        <x:v>Leveraging ISAC for Adaptive Cell Zooming in Mixed FSO-RF Networks</x:v>
      </x:c>
      <x:c r="K142" s="21" t="str">
        <x:v>M. Nafees; M. Baniasadi; J. R. Hopgood; M. Safari; J. S. Thompson</x:v>
      </x:c>
      <x:c r="L142" s="23" t="str">
        <x:v>2025</x:v>
      </x:c>
      <x:c r="M142" s="21" t="str">
        <x:v>2025 IEEE 36th International Symposium on Personal, Indoor and Mobile Radio Communications (PIMRC)</x:v>
      </x:c>
      <x:c r="N142" s="21" t="str">
        <x:v>10.1109/pimrc62392.2025.11274730</x:v>
      </x:c>
      <x:c r="O142" s="21" t="str">
        <x:v>https://doi.org/10.1109/pimrc62392.2025.11274730</x:v>
      </x:c>
      <x:c r="P142" s="21" t="str">
        <x:v>IEEE Conferences</x:v>
      </x:c>
      <x:c r="Q142" s="23" t="str">
        <x:v>16</x:v>
      </x:c>
      <x:c r="R142" s="23" t="str">
        <x:v>24</x:v>
      </x:c>
      <x:c r="S142" s="23" t="str">
        <x:v>4</x:v>
      </x:c>
      <x:c r="T142" s="23" t="str">
        <x:v>0</x:v>
      </x:c>
      <x:c r="U142" s="23" t="str">
        <x:v>0</x:v>
      </x:c>
      <x:c r="V142" s="23" t="str">
        <x:v>0</x:v>
      </x:c>
      <x:c r="W142" s="23" t="str">
        <x:v>0</x:v>
      </x:c>
      <x:c r="X142" s="23" t="str">
        <x:v>0</x:v>
      </x:c>
      <x:c r="Y142" s="21" t="str">
        <x:v>eligible_with_study_context</x:v>
      </x:c>
      <x:c r="Z142" s="21" t="str">
        <x:v>complete</x:v>
      </x:c>
      <x:c r="AA142" s="21" t="str">
        <x:v>Source SCR-00922 supplies 16 evidence, 24 metric, and 4 governed tradeoff rows; use gate: eligible_with_study_context.</x:v>
      </x:c>
    </x:row>
    <x:row r="143" ht="42" customHeight="1">
      <x:c r="A143" s="21" t="str">
        <x:v>STC-SINGLETON-SCR-00925</x:v>
      </x:c>
      <x:c r="B143" s="21" t="str">
        <x:v>OISAC_SCR00925</x:v>
      </x:c>
      <x:c r="C143" s="21" t="str">
        <x:v>RPT-SCR-00925-01</x:v>
      </x:c>
      <x:c r="D143" s="21" t="str">
        <x:v>SCR-00925</x:v>
      </x:c>
      <x:c r="E143" s="21" t="str">
        <x:v>OISAC_SCR00925</x:v>
      </x:c>
      <x:c r="F143" s="21" t="str">
        <x:v>\cite{OISAC_SCR00925}</x:v>
      </x:c>
      <x:c r="G143" s="21" t="str">
        <x:v>primary_source</x:v>
      </x:c>
      <x:c r="H143" s="21" t="str">
        <x:v>none</x:v>
      </x:c>
      <x:c r="I143" s="21" t="str">
        <x:v>standalone_primary_report</x:v>
      </x:c>
      <x:c r="J143" s="21" t="str">
        <x:v>Performance Analysis of NOMA-Assisted Optical OFDM ISAC Systems with Clipping Distortion</x:v>
      </x:c>
      <x:c r="K143" s="21" t="str">
        <x:v>N. N. Luong; C. T. Nguyen; T. V. Pham</x:v>
      </x:c>
      <x:c r="L143" s="23" t="str">
        <x:v>2026</x:v>
      </x:c>
      <x:c r="M143" s="21" t="str">
        <x:v>2026 IEEE Wireless Communications and Networking Conference (WCNC)</x:v>
      </x:c>
      <x:c r="N143" s="21" t="str">
        <x:v>10.1109/wcnc65185.2026.11555373</x:v>
      </x:c>
      <x:c r="O143" s="21" t="str">
        <x:v>https://doi.org/10.1109/wcnc65185.2026.11555373</x:v>
      </x:c>
      <x:c r="P143" s="21" t="str">
        <x:v>IEEE Conferences</x:v>
      </x:c>
      <x:c r="Q143" s="23" t="str">
        <x:v>17</x:v>
      </x:c>
      <x:c r="R143" s="23" t="str">
        <x:v>31</x:v>
      </x:c>
      <x:c r="S143" s="23" t="str">
        <x:v>4</x:v>
      </x:c>
      <x:c r="T143" s="23" t="str">
        <x:v>0</x:v>
      </x:c>
      <x:c r="U143" s="23" t="str">
        <x:v>0</x:v>
      </x:c>
      <x:c r="V143" s="23" t="str">
        <x:v>0</x:v>
      </x:c>
      <x:c r="W143" s="23" t="str">
        <x:v>0</x:v>
      </x:c>
      <x:c r="X143" s="23" t="str">
        <x:v>0</x:v>
      </x:c>
      <x:c r="Y143" s="21" t="str">
        <x:v>eligible_with_study_context</x:v>
      </x:c>
      <x:c r="Z143" s="21" t="str">
        <x:v>complete</x:v>
      </x:c>
      <x:c r="AA143" s="21" t="str">
        <x:v>Source SCR-00925 supplies 17 evidence, 31 metric, and 4 governed tradeoff rows; use gate: eligible_with_study_context.</x:v>
      </x:c>
    </x:row>
    <x:row r="144" ht="42" customHeight="1">
      <x:c r="A144" s="21" t="str">
        <x:v>STC-SINGLETON-SCR-00926</x:v>
      </x:c>
      <x:c r="B144" s="21" t="str">
        <x:v>OISAC_SCR00926</x:v>
      </x:c>
      <x:c r="C144" s="21" t="str">
        <x:v>RPT-SCR-00926-01</x:v>
      </x:c>
      <x:c r="D144" s="21" t="str">
        <x:v>SCR-00926</x:v>
      </x:c>
      <x:c r="E144" s="21" t="str">
        <x:v>OISAC_SCR00926</x:v>
      </x:c>
      <x:c r="F144" s="21" t="str">
        <x:v>\cite{OISAC_SCR00926}</x:v>
      </x:c>
      <x:c r="G144" s="21" t="str">
        <x:v>primary_source</x:v>
      </x:c>
      <x:c r="H144" s="21" t="str">
        <x:v>none</x:v>
      </x:c>
      <x:c r="I144" s="21" t="str">
        <x:v>standalone_primary_report</x:v>
      </x:c>
      <x:c r="J144" s="21" t="str">
        <x:v>LACO-OFDM-Based Optical ISAC System Design and Performance Analysis</x:v>
      </x:c>
      <x:c r="K144" s="21" t="str">
        <x:v>B. Li; J. Wang; Y. Gao; J. Lian; B. Lian</x:v>
      </x:c>
      <x:c r="L144" s="23" t="str">
        <x:v>2026</x:v>
      </x:c>
      <x:c r="M144" s="21" t="str">
        <x:v>IEEE Internet of Things Journal</x:v>
      </x:c>
      <x:c r="N144" s="21" t="str">
        <x:v>10.1109/jiot.2026.3679668</x:v>
      </x:c>
      <x:c r="O144" s="21" t="str">
        <x:v>https://doi.org/10.1109/jiot.2026.3679668</x:v>
      </x:c>
      <x:c r="P144" s="21" t="str">
        <x:v>IEEE Journals</x:v>
      </x:c>
      <x:c r="Q144" s="23" t="str">
        <x:v>18</x:v>
      </x:c>
      <x:c r="R144" s="23" t="str">
        <x:v>29</x:v>
      </x:c>
      <x:c r="S144" s="23" t="str">
        <x:v>5</x:v>
      </x:c>
      <x:c r="T144" s="23" t="str">
        <x:v>0</x:v>
      </x:c>
      <x:c r="U144" s="23" t="str">
        <x:v>0</x:v>
      </x:c>
      <x:c r="V144" s="23" t="str">
        <x:v>0</x:v>
      </x:c>
      <x:c r="W144" s="23" t="str">
        <x:v>0</x:v>
      </x:c>
      <x:c r="X144" s="23" t="str">
        <x:v>0</x:v>
      </x:c>
      <x:c r="Y144" s="21" t="str">
        <x:v>eligible_with_study_context</x:v>
      </x:c>
      <x:c r="Z144" s="21" t="str">
        <x:v>complete</x:v>
      </x:c>
      <x:c r="AA144" s="21" t="str">
        <x:v>Source SCR-00926 supplies 18 evidence, 29 metric, and 5 governed tradeoff rows; use gate: eligible_with_study_context.</x:v>
      </x:c>
    </x:row>
    <x:row r="145" ht="42" customHeight="1">
      <x:c r="A145" s="21" t="str">
        <x:v>STC-SINGLETON-SCR-00937</x:v>
      </x:c>
      <x:c r="B145" s="21" t="str">
        <x:v>OISAC_SCR00937</x:v>
      </x:c>
      <x:c r="C145" s="21" t="str">
        <x:v>RPT-SCR-00937-01</x:v>
      </x:c>
      <x:c r="D145" s="21" t="str">
        <x:v>SCR-00937</x:v>
      </x:c>
      <x:c r="E145" s="21" t="str">
        <x:v>OISAC_SCR00937</x:v>
      </x:c>
      <x:c r="F145" s="21" t="str">
        <x:v>\cite{OISAC_SCR00937}</x:v>
      </x:c>
      <x:c r="G145" s="21" t="str">
        <x:v>primary_source</x:v>
      </x:c>
      <x:c r="H145" s="21" t="str">
        <x:v>none</x:v>
      </x:c>
      <x:c r="I145" s="21" t="str">
        <x:v>standalone_primary_report</x:v>
      </x:c>
      <x:c r="J145" s="21" t="str">
        <x:v>Simulation of Constant-Envelope THz Integrated Sensing and Communication System Based on Photonics with 2D Positioning</x:v>
      </x:c>
      <x:c r="K145" s="21" t="str">
        <x:v>Y. Liu; X. Deng; N. Zhong; X. Zou; W. Pan; L. Yan</x:v>
      </x:c>
      <x:c r="L145" s="23" t="str">
        <x:v>2024</x:v>
      </x:c>
      <x:c r="M145" s="21" t="str">
        <x:v>2024 Asia Communications and Photonics Conference (ACP) and International Conference on Information Photonics and Optical Communications (IPOC)</x:v>
      </x:c>
      <x:c r="N145" s="21" t="str">
        <x:v>10.1109/acp/ipoc63121.2024.10809603</x:v>
      </x:c>
      <x:c r="O145" s="21" t="str">
        <x:v>https://doi.org/10.1109/acp/ipoc63121.2024.10809603</x:v>
      </x:c>
      <x:c r="P145" s="21" t="str">
        <x:v>IEEE Conferences</x:v>
      </x:c>
      <x:c r="Q145" s="23" t="str">
        <x:v>12</x:v>
      </x:c>
      <x:c r="R145" s="23" t="str">
        <x:v>27</x:v>
      </x:c>
      <x:c r="S145" s="23" t="str">
        <x:v>1</x:v>
      </x:c>
      <x:c r="T145" s="23" t="str">
        <x:v>0</x:v>
      </x:c>
      <x:c r="U145" s="23" t="str">
        <x:v>0</x:v>
      </x:c>
      <x:c r="V145" s="23" t="str">
        <x:v>0</x:v>
      </x:c>
      <x:c r="W145" s="23" t="str">
        <x:v>0</x:v>
      </x:c>
      <x:c r="X145" s="23" t="str">
        <x:v>0</x:v>
      </x:c>
      <x:c r="Y145" s="21" t="str">
        <x:v>eligible_with_study_context</x:v>
      </x:c>
      <x:c r="Z145" s="21" t="str">
        <x:v>complete</x:v>
      </x:c>
      <x:c r="AA145" s="21" t="str">
        <x:v>Source SCR-00937 supplies 12 evidence, 27 metric, and 1 governed tradeoff rows; use gate: eligible_with_study_context.</x:v>
      </x:c>
    </x:row>
    <x:row r="146" ht="42" customHeight="1">
      <x:c r="A146" s="21" t="str">
        <x:v>STC-SINGLETON-SCR-00941</x:v>
      </x:c>
      <x:c r="B146" s="21" t="str">
        <x:v>OISAC_SCR00941</x:v>
      </x:c>
      <x:c r="C146" s="21" t="str">
        <x:v>RPT-SCR-00941-01</x:v>
      </x:c>
      <x:c r="D146" s="21" t="str">
        <x:v>SCR-00941</x:v>
      </x:c>
      <x:c r="E146" s="21" t="str">
        <x:v>OISAC_SCR00941</x:v>
      </x:c>
      <x:c r="F146" s="21" t="str">
        <x:v>\cite{OISAC_SCR00941}</x:v>
      </x:c>
      <x:c r="G146" s="21" t="str">
        <x:v>primary_source</x:v>
      </x:c>
      <x:c r="H146" s="21" t="str">
        <x:v>none</x:v>
      </x:c>
      <x:c r="I146" s="21" t="str">
        <x:v>standalone_primary_report</x:v>
      </x:c>
      <x:c r="J146" s="21" t="str">
        <x:v>Joint Design of Optical Phased Array Beamforming and OFDM Waveform in Optical Wireless Integrated Sensing and Communication</x:v>
      </x:c>
      <x:c r="K146" s="21" t="str">
        <x:v>Y. Wen; F. Yang; J. Song; Z. Han</x:v>
      </x:c>
      <x:c r="L146" s="23" t="str">
        <x:v>2026</x:v>
      </x:c>
      <x:c r="M146" s="21" t="str">
        <x:v>IEEE Transactions on Wireless Communications</x:v>
      </x:c>
      <x:c r="N146" s="21" t="str">
        <x:v>10.1109/twc.2025.3647104</x:v>
      </x:c>
      <x:c r="O146" s="21" t="str">
        <x:v>https://doi.org/10.1109/twc.2025.3647104</x:v>
      </x:c>
      <x:c r="P146" s="21" t="str">
        <x:v>IEEE Journals</x:v>
      </x:c>
      <x:c r="Q146" s="23" t="str">
        <x:v>38</x:v>
      </x:c>
      <x:c r="R146" s="23" t="str">
        <x:v>12</x:v>
      </x:c>
      <x:c r="S146" s="23" t="str">
        <x:v>5</x:v>
      </x:c>
      <x:c r="T146" s="23" t="str">
        <x:v>0</x:v>
      </x:c>
      <x:c r="U146" s="23" t="str">
        <x:v>0</x:v>
      </x:c>
      <x:c r="V146" s="23" t="str">
        <x:v>0</x:v>
      </x:c>
      <x:c r="W146" s="23" t="str">
        <x:v>0</x:v>
      </x:c>
      <x:c r="X146" s="23" t="str">
        <x:v>0</x:v>
      </x:c>
      <x:c r="Y146" s="21" t="str">
        <x:v>eligible_with_study_context</x:v>
      </x:c>
      <x:c r="Z146" s="21" t="str">
        <x:v>complete</x:v>
      </x:c>
      <x:c r="AA146" s="21" t="str">
        <x:v>Source SCR-00941 supplies 38 evidence, 12 metric, and 5 governed tradeoff rows; use gate: eligible_with_study_context.</x:v>
      </x:c>
    </x:row>
    <x:row r="147" ht="42" customHeight="1">
      <x:c r="A147" s="21" t="str">
        <x:v>STC-SINGLETON-SCR-00943</x:v>
      </x:c>
      <x:c r="B147" s="21" t="str">
        <x:v>OISAC_SCR00943</x:v>
      </x:c>
      <x:c r="C147" s="21" t="str">
        <x:v>RPT-SCR-00943-01</x:v>
      </x:c>
      <x:c r="D147" s="21" t="str">
        <x:v>SCR-00943</x:v>
      </x:c>
      <x:c r="E147" s="21" t="str">
        <x:v>OISAC_SCR00943</x:v>
      </x:c>
      <x:c r="F147" s="21" t="str">
        <x:v>\cite{OISAC_SCR00943}</x:v>
      </x:c>
      <x:c r="G147" s="21" t="str">
        <x:v>primary_source</x:v>
      </x:c>
      <x:c r="H147" s="21" t="str">
        <x:v>none</x:v>
      </x:c>
      <x:c r="I147" s="21" t="str">
        <x:v>standalone_primary_report</x:v>
      </x:c>
      <x:c r="J147" s="21" t="str">
        <x:v>Monolithic III-Nitride Photonic Circuit for Integrated Sensing and Communication System</x:v>
      </x:c>
      <x:c r="K147" s="21" t="str">
        <x:v>Y. Jiang; M. Xie; Z. Shi; Y. Wang</x:v>
      </x:c>
      <x:c r="L147" s="23" t="str">
        <x:v>2023</x:v>
      </x:c>
      <x:c r="M147" s="21" t="str">
        <x:v>2023 20th China International Forum on Solid State Lighting &amp; 2023 9th International Forum on Wide Bandgap Semiconductors (SSLCHINA: IFWS)</x:v>
      </x:c>
      <x:c r="N147" s="21" t="str">
        <x:v>10.1109/sslchinaifws60785.2023.10399712</x:v>
      </x:c>
      <x:c r="O147" s="21" t="str">
        <x:v>https://doi.org/10.1109/sslchinaifws60785.2023.10399712</x:v>
      </x:c>
      <x:c r="P147" s="21" t="str">
        <x:v>IEEE Conferences</x:v>
      </x:c>
      <x:c r="Q147" s="23" t="str">
        <x:v>10</x:v>
      </x:c>
      <x:c r="R147" s="23" t="str">
        <x:v>15</x:v>
      </x:c>
      <x:c r="S147" s="23" t="str">
        <x:v>0</x:v>
      </x:c>
      <x:c r="T147" s="23" t="str">
        <x:v>0</x:v>
      </x:c>
      <x:c r="U147" s="23" t="str">
        <x:v>0</x:v>
      </x:c>
      <x:c r="V147" s="23" t="str">
        <x:v>0</x:v>
      </x:c>
      <x:c r="W147" s="23" t="str">
        <x:v>0</x:v>
      </x:c>
      <x:c r="X147" s="23" t="str">
        <x:v>0</x:v>
      </x:c>
      <x:c r="Y147" s="21" t="str">
        <x:v>eligible_with_study_context</x:v>
      </x:c>
      <x:c r="Z147" s="21" t="str">
        <x:v>complete</x:v>
      </x:c>
      <x:c r="AA147" s="21" t="str">
        <x:v>Source SCR-00943 supplies 10 evidence, 15 metric, and 0 governed tradeoff rows; use gate: eligible_with_study_context.</x:v>
      </x:c>
    </x:row>
    <x:row r="148" ht="42" customHeight="1">
      <x:c r="A148" s="21" t="str">
        <x:v>STC-SINGLETON-SCR-00944</x:v>
      </x:c>
      <x:c r="B148" s="21" t="str">
        <x:v>OISAC_SCR00944</x:v>
      </x:c>
      <x:c r="C148" s="21" t="str">
        <x:v>RPT-SCR-00944-01</x:v>
      </x:c>
      <x:c r="D148" s="21" t="str">
        <x:v>SCR-00944</x:v>
      </x:c>
      <x:c r="E148" s="21" t="str">
        <x:v>OISAC_SCR00944</x:v>
      </x:c>
      <x:c r="F148" s="21" t="str">
        <x:v>\cite{OISAC_SCR00944}</x:v>
      </x:c>
      <x:c r="G148" s="21" t="str">
        <x:v>primary_source</x:v>
      </x:c>
      <x:c r="H148" s="21" t="str">
        <x:v>none</x:v>
      </x:c>
      <x:c r="I148" s="21" t="str">
        <x:v>standalone_primary_report</x:v>
      </x:c>
      <x:c r="J148" s="21" t="str">
        <x:v>Heterogeneous Integrated III-V-on-Soi Transmitter for 6G FiWi mmWave/FSO Integrated Sensing and Communication</x:v>
      </x:c>
      <x:c r="K148" s="21" t="str">
        <x:v>A. Safiriyu; M. Vargemidou; C. Vagionas; J. Ramirez; F. Salim; N. Pleros; A. Miliou; A. -L. Billabert; C. Algani</x:v>
      </x:c>
      <x:c r="L148" s="23" t="str">
        <x:v>2025</x:v>
      </x:c>
      <x:c r="M148" s="21" t="str">
        <x:v>2025 European Conference on Optical Communications (ECOC)</x:v>
      </x:c>
      <x:c r="N148" s="21" t="str">
        <x:v>10.1109/ecoc66593.2025.11263375</x:v>
      </x:c>
      <x:c r="O148" s="21" t="str">
        <x:v>https://doi.org/10.1109/ecoc66593.2025.11263375</x:v>
      </x:c>
      <x:c r="P148" s="21" t="str">
        <x:v>IEEE Conferences</x:v>
      </x:c>
      <x:c r="Q148" s="23" t="str">
        <x:v>12</x:v>
      </x:c>
      <x:c r="R148" s="23" t="str">
        <x:v>25</x:v>
      </x:c>
      <x:c r="S148" s="23" t="str">
        <x:v>1</x:v>
      </x:c>
      <x:c r="T148" s="23" t="str">
        <x:v>0</x:v>
      </x:c>
      <x:c r="U148" s="23" t="str">
        <x:v>0</x:v>
      </x:c>
      <x:c r="V148" s="23" t="str">
        <x:v>0</x:v>
      </x:c>
      <x:c r="W148" s="23" t="str">
        <x:v>0</x:v>
      </x:c>
      <x:c r="X148" s="23" t="str">
        <x:v>0</x:v>
      </x:c>
      <x:c r="Y148" s="21" t="str">
        <x:v>eligible_with_study_context</x:v>
      </x:c>
      <x:c r="Z148" s="21" t="str">
        <x:v>complete</x:v>
      </x:c>
      <x:c r="AA148" s="21" t="str">
        <x:v>Source SCR-00944 supplies 12 evidence, 25 metric, and 1 governed tradeoff rows; use gate: eligible_with_study_context.</x:v>
      </x:c>
    </x:row>
    <x:row r="149" ht="42" customHeight="1">
      <x:c r="A149" s="21" t="str">
        <x:v>STC-SINGLETON-SCR-00949</x:v>
      </x:c>
      <x:c r="B149" s="21" t="str">
        <x:v>OISAC_SCR00949</x:v>
      </x:c>
      <x:c r="C149" s="21" t="str">
        <x:v>RPT-SCR-00949-01</x:v>
      </x:c>
      <x:c r="D149" s="21" t="str">
        <x:v>SCR-00949</x:v>
      </x:c>
      <x:c r="E149" s="21" t="str">
        <x:v>OISAC_SCR00949</x:v>
      </x:c>
      <x:c r="F149" s="21" t="str">
        <x:v>\cite{OISAC_SCR00949}</x:v>
      </x:c>
      <x:c r="G149" s="21" t="str">
        <x:v>primary_source</x:v>
      </x:c>
      <x:c r="H149" s="21" t="str">
        <x:v>none</x:v>
      </x:c>
      <x:c r="I149" s="21" t="str">
        <x:v>standalone_primary_report</x:v>
      </x:c>
      <x:c r="J149" s="21" t="str">
        <x:v>Double-effect DNN-based DBP Scheme for Integrated Sensing and Communications (ISAC)</x:v>
      </x:c>
      <x:c r="K149" s="21" t="str">
        <x:v>F. Li; X. Zhou; Q. Fan; Y. Gao; J. Huo; J. Yuan; K. Long</x:v>
      </x:c>
      <x:c r="L149" s="23" t="str">
        <x:v>2022</x:v>
      </x:c>
      <x:c r="M149" s="21" t="str">
        <x:v>2022 Optical Fiber Communications Conference and Exhibition (OFC)</x:v>
      </x:c>
      <x:c r="N149" s="21" t="str"/>
      <x:c r="O149" s="21" t="str">
        <x:v>https://ieeexplore.ieee.org/document/9748683</x:v>
      </x:c>
      <x:c r="P149" s="21" t="str">
        <x:v>IEEE Conferences</x:v>
      </x:c>
      <x:c r="Q149" s="23" t="str">
        <x:v>10</x:v>
      </x:c>
      <x:c r="R149" s="23" t="str">
        <x:v>21</x:v>
      </x:c>
      <x:c r="S149" s="23" t="str">
        <x:v>0</x:v>
      </x:c>
      <x:c r="T149" s="23" t="str">
        <x:v>0</x:v>
      </x:c>
      <x:c r="U149" s="23" t="str">
        <x:v>0</x:v>
      </x:c>
      <x:c r="V149" s="23" t="str">
        <x:v>0</x:v>
      </x:c>
      <x:c r="W149" s="23" t="str">
        <x:v>0</x:v>
      </x:c>
      <x:c r="X149" s="23" t="str">
        <x:v>0</x:v>
      </x:c>
      <x:c r="Y149" s="21" t="str">
        <x:v>eligible_with_study_context</x:v>
      </x:c>
      <x:c r="Z149" s="21" t="str">
        <x:v>complete</x:v>
      </x:c>
      <x:c r="AA149" s="21" t="str">
        <x:v>Source SCR-00949 supplies 10 evidence, 21 metric, and 0 governed tradeoff rows; use gate: eligible_with_study_context.</x:v>
      </x:c>
    </x:row>
    <x:row r="150" ht="42" customHeight="1">
      <x:c r="A150" s="21" t="str">
        <x:v>STC-SINGLETON-SCR-00953</x:v>
      </x:c>
      <x:c r="B150" s="21" t="str">
        <x:v>OISAC_SCR00953</x:v>
      </x:c>
      <x:c r="C150" s="21" t="str">
        <x:v>RPT-SCR-00953-01</x:v>
      </x:c>
      <x:c r="D150" s="21" t="str">
        <x:v>SCR-00953</x:v>
      </x:c>
      <x:c r="E150" s="21" t="str">
        <x:v>OISAC_SCR00953</x:v>
      </x:c>
      <x:c r="F150" s="21" t="str">
        <x:v>\cite{OISAC_SCR00953}</x:v>
      </x:c>
      <x:c r="G150" s="21" t="str">
        <x:v>primary_source</x:v>
      </x:c>
      <x:c r="H150" s="21" t="str">
        <x:v>none</x:v>
      </x:c>
      <x:c r="I150" s="21" t="str">
        <x:v>standalone_primary_report</x:v>
      </x:c>
      <x:c r="J150" s="21" t="str">
        <x:v>A Beam-Scannable Photonic THz-ISAC System Based on Risley Prisms</x:v>
      </x:c>
      <x:c r="K150" s="21" t="str">
        <x:v>Z. Lyu; L. Zhang; H. Zhang; Z. Yang; H. Yang; C. Zhang; V. Bobrovs; X. Pang; O. Ozolins; X. Yu</x:v>
      </x:c>
      <x:c r="L150" s="23" t="str">
        <x:v>2023</x:v>
      </x:c>
      <x:c r="M150" s="21" t="str">
        <x:v>2023 Asia Communications and Photonics Conference/2023 International Photonics and Optoelectronics Meetings (ACP/POEM)</x:v>
      </x:c>
      <x:c r="N150" s="21" t="str">
        <x:v>10.1109/acp/poem59049.2023.10368958</x:v>
      </x:c>
      <x:c r="O150" s="21" t="str">
        <x:v>https://doi.org/10.1109/acp/poem59049.2023.10368958</x:v>
      </x:c>
      <x:c r="P150" s="21" t="str">
        <x:v>IEEE Conferences</x:v>
      </x:c>
      <x:c r="Q150" s="23" t="str">
        <x:v>11</x:v>
      </x:c>
      <x:c r="R150" s="23" t="str">
        <x:v>21</x:v>
      </x:c>
      <x:c r="S150" s="23" t="str">
        <x:v>1</x:v>
      </x:c>
      <x:c r="T150" s="23" t="str">
        <x:v>0</x:v>
      </x:c>
      <x:c r="U150" s="23" t="str">
        <x:v>0</x:v>
      </x:c>
      <x:c r="V150" s="23" t="str">
        <x:v>0</x:v>
      </x:c>
      <x:c r="W150" s="23" t="str">
        <x:v>0</x:v>
      </x:c>
      <x:c r="X150" s="23" t="str">
        <x:v>0</x:v>
      </x:c>
      <x:c r="Y150" s="21" t="str">
        <x:v>eligible_with_study_context</x:v>
      </x:c>
      <x:c r="Z150" s="21" t="str">
        <x:v>complete</x:v>
      </x:c>
      <x:c r="AA150" s="21" t="str">
        <x:v>Source SCR-00953 supplies 11 evidence, 21 metric, and 1 governed tradeoff rows; use gate: eligible_with_study_context.</x:v>
      </x:c>
    </x:row>
    <x:row r="151" ht="42" customHeight="1">
      <x:c r="A151" s="21" t="str">
        <x:v>STC-SINGLETON-SCR-00954</x:v>
      </x:c>
      <x:c r="B151" s="21" t="str">
        <x:v>OISAC_SCR00954</x:v>
      </x:c>
      <x:c r="C151" s="21" t="str">
        <x:v>RPT-SCR-00954-01</x:v>
      </x:c>
      <x:c r="D151" s="21" t="str">
        <x:v>SCR-00954</x:v>
      </x:c>
      <x:c r="E151" s="21" t="str">
        <x:v>OISAC_SCR00954</x:v>
      </x:c>
      <x:c r="F151" s="21" t="str">
        <x:v>\cite{OISAC_SCR00954}</x:v>
      </x:c>
      <x:c r="G151" s="21" t="str">
        <x:v>primary_source</x:v>
      </x:c>
      <x:c r="H151" s="21" t="str">
        <x:v>none</x:v>
      </x:c>
      <x:c r="I151" s="21" t="str">
        <x:v>standalone_primary_report</x:v>
      </x:c>
      <x:c r="J151" s="21" t="str">
        <x:v>Signal-Signal Beating Interference: From Destructive to Constructive for Photonic THz Integrated Sensing and Communication System Using Self-Coherent OFDM</x:v>
      </x:c>
      <x:c r="K151" s="21" t="str">
        <x:v>F. Liu; X. Zou; N. Zhong; X. Deng; L. Yan; W. Pan</x:v>
      </x:c>
      <x:c r="L151" s="23" t="str">
        <x:v>2026</x:v>
      </x:c>
      <x:c r="M151" s="21" t="str">
        <x:v>IEEE Transactions on Microwave Theory and Techniques</x:v>
      </x:c>
      <x:c r="N151" s="21" t="str">
        <x:v>10.1109/tmtt.2025.3638469</x:v>
      </x:c>
      <x:c r="O151" s="21" t="str">
        <x:v>https://doi.org/10.1109/tmtt.2025.3638469</x:v>
      </x:c>
      <x:c r="P151" s="21" t="str">
        <x:v>IEEE Journals</x:v>
      </x:c>
      <x:c r="Q151" s="23" t="str">
        <x:v>11</x:v>
      </x:c>
      <x:c r="R151" s="23" t="str">
        <x:v>24</x:v>
      </x:c>
      <x:c r="S151" s="23" t="str">
        <x:v>1</x:v>
      </x:c>
      <x:c r="T151" s="23" t="str">
        <x:v>0</x:v>
      </x:c>
      <x:c r="U151" s="23" t="str">
        <x:v>0</x:v>
      </x:c>
      <x:c r="V151" s="23" t="str">
        <x:v>0</x:v>
      </x:c>
      <x:c r="W151" s="23" t="str">
        <x:v>0</x:v>
      </x:c>
      <x:c r="X151" s="23" t="str">
        <x:v>0</x:v>
      </x:c>
      <x:c r="Y151" s="21" t="str">
        <x:v>eligible_with_study_context</x:v>
      </x:c>
      <x:c r="Z151" s="21" t="str">
        <x:v>complete</x:v>
      </x:c>
      <x:c r="AA151" s="21" t="str">
        <x:v>Source SCR-00954 supplies 11 evidence, 24 metric, and 1 governed tradeoff rows; use gate: eligible_with_study_context.</x:v>
      </x:c>
    </x:row>
    <x:row r="152" ht="42" customHeight="1">
      <x:c r="A152" s="21" t="str">
        <x:v>STC-SINGLETON-SCR-00959</x:v>
      </x:c>
      <x:c r="B152" s="21" t="str">
        <x:v>OISAC_SCR00959</x:v>
      </x:c>
      <x:c r="C152" s="21" t="str">
        <x:v>RPT-SCR-00959-01</x:v>
      </x:c>
      <x:c r="D152" s="21" t="str">
        <x:v>SCR-00959</x:v>
      </x:c>
      <x:c r="E152" s="21" t="str">
        <x:v>OISAC_SCR00959</x:v>
      </x:c>
      <x:c r="F152" s="21" t="str">
        <x:v>\cite{OISAC_SCR00959}</x:v>
      </x:c>
      <x:c r="G152" s="21" t="str">
        <x:v>primary_source</x:v>
      </x:c>
      <x:c r="H152" s="21" t="str">
        <x:v>none</x:v>
      </x:c>
      <x:c r="I152" s="21" t="str">
        <x:v>standalone_primary_report</x:v>
      </x:c>
      <x:c r="J152" s="21" t="str">
        <x:v>Fiber Events Recognition in Integrated Sensing and Communication Systems Based on Signal State of Polarization Analysis</x:v>
      </x:c>
      <x:c r="K152" s="21" t="str">
        <x:v>J. C. Wang; T. Y. Liu; J. H. Zhou</x:v>
      </x:c>
      <x:c r="L152" s="23" t="str">
        <x:v>2025</x:v>
      </x:c>
      <x:c r="M152" s="21" t="str">
        <x:v>2025 Photonics &amp; Electromagnetics Research Symposium - Fall (PIERS-Fall)</x:v>
      </x:c>
      <x:c r="N152" s="21" t="str">
        <x:v>10.23919/piers-fall62445.2025.11394123</x:v>
      </x:c>
      <x:c r="O152" s="21" t="str">
        <x:v>https://doi.org/10.23919/piers-fall62445.2025.11394123</x:v>
      </x:c>
      <x:c r="P152" s="21" t="str">
        <x:v>IEEE Conferences</x:v>
      </x:c>
      <x:c r="Q152" s="23" t="str">
        <x:v>17</x:v>
      </x:c>
      <x:c r="R152" s="23" t="str">
        <x:v>29</x:v>
      </x:c>
      <x:c r="S152" s="23" t="str">
        <x:v>3</x:v>
      </x:c>
      <x:c r="T152" s="23" t="str">
        <x:v>0</x:v>
      </x:c>
      <x:c r="U152" s="23" t="str">
        <x:v>0</x:v>
      </x:c>
      <x:c r="V152" s="23" t="str">
        <x:v>0</x:v>
      </x:c>
      <x:c r="W152" s="23" t="str">
        <x:v>0</x:v>
      </x:c>
      <x:c r="X152" s="23" t="str">
        <x:v>0</x:v>
      </x:c>
      <x:c r="Y152" s="21" t="str">
        <x:v>eligible_with_study_context</x:v>
      </x:c>
      <x:c r="Z152" s="21" t="str">
        <x:v>complete</x:v>
      </x:c>
      <x:c r="AA152" s="21" t="str">
        <x:v>Source SCR-00959 supplies 17 evidence, 29 metric, and 3 governed tradeoff rows; use gate: eligible_with_study_context.</x:v>
      </x:c>
    </x:row>
    <x:row r="153" ht="42" customHeight="1">
      <x:c r="A153" s="21" t="str">
        <x:v>STC-SINGLETON-SCR-00965</x:v>
      </x:c>
      <x:c r="B153" s="21" t="str">
        <x:v>OISAC_SCR00965</x:v>
      </x:c>
      <x:c r="C153" s="21" t="str">
        <x:v>RPT-SCR-00965-01</x:v>
      </x:c>
      <x:c r="D153" s="21" t="str">
        <x:v>SCR-00965</x:v>
      </x:c>
      <x:c r="E153" s="21" t="str">
        <x:v>OISAC_SCR00965</x:v>
      </x:c>
      <x:c r="F153" s="21" t="str">
        <x:v>\cite{OISAC_SCR00965}</x:v>
      </x:c>
      <x:c r="G153" s="21" t="str">
        <x:v>primary_source</x:v>
      </x:c>
      <x:c r="H153" s="21" t="str">
        <x:v>none</x:v>
      </x:c>
      <x:c r="I153" s="21" t="str">
        <x:v>standalone_primary_report</x:v>
      </x:c>
      <x:c r="J153" s="21" t="str">
        <x:v>Microwave Photonics Empowered Minimalist Base Station for Integrated Sensing and Communication via Cascaded Intensity and Phase Modulation</x:v>
      </x:c>
      <x:c r="K153" s="21" t="str">
        <x:v>S. Chen; Z. Tang; L. Zhang; Y. Zhang; M. Wang; Z. Zeng; H. Li; Z. Zhang; Y. Liu</x:v>
      </x:c>
      <x:c r="L153" s="23" t="str">
        <x:v>2026</x:v>
      </x:c>
      <x:c r="M153" s="21" t="str">
        <x:v>Journal of Lightwave Technology</x:v>
      </x:c>
      <x:c r="N153" s="21" t="str">
        <x:v>10.1109/jlt.2026.3692563</x:v>
      </x:c>
      <x:c r="O153" s="21" t="str">
        <x:v>https://doi.org/10.1109/jlt.2026.3692563</x:v>
      </x:c>
      <x:c r="P153" s="21" t="str">
        <x:v>IEEE Journals</x:v>
      </x:c>
      <x:c r="Q153" s="23" t="str">
        <x:v>20</x:v>
      </x:c>
      <x:c r="R153" s="23" t="str">
        <x:v>41</x:v>
      </x:c>
      <x:c r="S153" s="23" t="str">
        <x:v>4</x:v>
      </x:c>
      <x:c r="T153" s="23" t="str">
        <x:v>0</x:v>
      </x:c>
      <x:c r="U153" s="23" t="str">
        <x:v>0</x:v>
      </x:c>
      <x:c r="V153" s="23" t="str">
        <x:v>0</x:v>
      </x:c>
      <x:c r="W153" s="23" t="str">
        <x:v>0</x:v>
      </x:c>
      <x:c r="X153" s="23" t="str">
        <x:v>0</x:v>
      </x:c>
      <x:c r="Y153" s="21" t="str">
        <x:v>eligible_with_study_context</x:v>
      </x:c>
      <x:c r="Z153" s="21" t="str">
        <x:v>complete</x:v>
      </x:c>
      <x:c r="AA153" s="21" t="str">
        <x:v>Source SCR-00965 supplies 20 evidence, 41 metric, and 4 governed tradeoff rows; use gate: eligible_with_study_context.</x:v>
      </x:c>
    </x:row>
    <x:row r="154" ht="42" customHeight="1">
      <x:c r="A154" s="21" t="str">
        <x:v>STC-SINGLETON-SCR-00970</x:v>
      </x:c>
      <x:c r="B154" s="21" t="str">
        <x:v>OISAC_SCR00970</x:v>
      </x:c>
      <x:c r="C154" s="21" t="str">
        <x:v>RPT-SCR-00970-01</x:v>
      </x:c>
      <x:c r="D154" s="21" t="str">
        <x:v>SCR-00970</x:v>
      </x:c>
      <x:c r="E154" s="21" t="str">
        <x:v>OISAC_SCR00970</x:v>
      </x:c>
      <x:c r="F154" s="21" t="str">
        <x:v>\cite{OISAC_SCR00970}</x:v>
      </x:c>
      <x:c r="G154" s="21" t="str">
        <x:v>primary_source</x:v>
      </x:c>
      <x:c r="H154" s="21" t="str">
        <x:v>none</x:v>
      </x:c>
      <x:c r="I154" s="21" t="str">
        <x:v>standalone_primary_report</x:v>
      </x:c>
      <x:c r="J154" s="21" t="str">
        <x:v>Spectral-Efficient Frequency-Division Photonic Millimeter-Wave Integrated Sensing and Communication System Using Improved Sparse LFM Sub-Bands Fusion</x:v>
      </x:c>
      <x:c r="K154" s="21" t="str">
        <x:v>N. Zhong; P. Li; W. Bai; W. Pan; L. Yan; X. Zou</x:v>
      </x:c>
      <x:c r="L154" s="23" t="str">
        <x:v>2023</x:v>
      </x:c>
      <x:c r="M154" s="21" t="str">
        <x:v>Journal of Lightwave Technology</x:v>
      </x:c>
      <x:c r="N154" s="21" t="str">
        <x:v>10.1109/jlt.2023.3265799</x:v>
      </x:c>
      <x:c r="O154" s="21" t="str">
        <x:v>https://doi.org/10.1109/jlt.2023.3265799</x:v>
      </x:c>
      <x:c r="P154" s="21" t="str">
        <x:v>IEEE Journals</x:v>
      </x:c>
      <x:c r="Q154" s="23" t="str">
        <x:v>14</x:v>
      </x:c>
      <x:c r="R154" s="23" t="str">
        <x:v>27</x:v>
      </x:c>
      <x:c r="S154" s="23" t="str">
        <x:v>1</x:v>
      </x:c>
      <x:c r="T154" s="23" t="str">
        <x:v>0</x:v>
      </x:c>
      <x:c r="U154" s="23" t="str">
        <x:v>0</x:v>
      </x:c>
      <x:c r="V154" s="23" t="str">
        <x:v>0</x:v>
      </x:c>
      <x:c r="W154" s="23" t="str">
        <x:v>0</x:v>
      </x:c>
      <x:c r="X154" s="23" t="str">
        <x:v>0</x:v>
      </x:c>
      <x:c r="Y154" s="21" t="str">
        <x:v>eligible_with_study_context</x:v>
      </x:c>
      <x:c r="Z154" s="21" t="str">
        <x:v>complete</x:v>
      </x:c>
      <x:c r="AA154" s="21" t="str">
        <x:v>Source SCR-00970 supplies 14 evidence, 27 metric, and 1 governed tradeoff rows; use gate: eligible_with_study_context.</x:v>
      </x:c>
    </x:row>
    <x:row r="155" ht="42" customHeight="1">
      <x:c r="A155" s="21" t="str">
        <x:v>STC-SINGLETON-SCR-00974</x:v>
      </x:c>
      <x:c r="B155" s="21" t="str">
        <x:v>OISAC_SCR00974</x:v>
      </x:c>
      <x:c r="C155" s="21" t="str">
        <x:v>RPT-SCR-00974-01</x:v>
      </x:c>
      <x:c r="D155" s="21" t="str">
        <x:v>SCR-00974</x:v>
      </x:c>
      <x:c r="E155" s="21" t="str">
        <x:v>OISAC_SCR00974</x:v>
      </x:c>
      <x:c r="F155" s="21" t="str">
        <x:v>\cite{OISAC_SCR00974}</x:v>
      </x:c>
      <x:c r="G155" s="21" t="str">
        <x:v>primary_source</x:v>
      </x:c>
      <x:c r="H155" s="21" t="str">
        <x:v>none</x:v>
      </x:c>
      <x:c r="I155" s="21" t="str">
        <x:v>standalone_primary_report</x:v>
      </x:c>
      <x:c r="J155" s="21" t="str">
        <x:v>Bit Inversion Probabilistic Shaping Enabling Performance Tradeoff in Photonics-Aided Millimeter-Wave OFDM Integrated Sensing and Communication Systems</x:v>
      </x:c>
      <x:c r="K155" s="21" t="str">
        <x:v>Z. Wang; W. Ji; H. Chang; Y. Li; J. Zhang; M. Lei; M. Zhu; J. Liu</x:v>
      </x:c>
      <x:c r="L155" s="23" t="str">
        <x:v>2026</x:v>
      </x:c>
      <x:c r="M155" s="21" t="str">
        <x:v>IEEE Transactions on Microwave Theory and Techniques</x:v>
      </x:c>
      <x:c r="N155" s="21" t="str">
        <x:v>10.1109/tmtt.2025.3643433</x:v>
      </x:c>
      <x:c r="O155" s="21" t="str">
        <x:v>https://doi.org/10.1109/tmtt.2025.3643433</x:v>
      </x:c>
      <x:c r="P155" s="21" t="str">
        <x:v>IEEE Journals</x:v>
      </x:c>
      <x:c r="Q155" s="23" t="str">
        <x:v>15</x:v>
      </x:c>
      <x:c r="R155" s="23" t="str">
        <x:v>28</x:v>
      </x:c>
      <x:c r="S155" s="23" t="str">
        <x:v>1</x:v>
      </x:c>
      <x:c r="T155" s="23" t="str">
        <x:v>0</x:v>
      </x:c>
      <x:c r="U155" s="23" t="str">
        <x:v>0</x:v>
      </x:c>
      <x:c r="V155" s="23" t="str">
        <x:v>0</x:v>
      </x:c>
      <x:c r="W155" s="23" t="str">
        <x:v>0</x:v>
      </x:c>
      <x:c r="X155" s="23" t="str">
        <x:v>0</x:v>
      </x:c>
      <x:c r="Y155" s="21" t="str">
        <x:v>eligible_with_study_context</x:v>
      </x:c>
      <x:c r="Z155" s="21" t="str">
        <x:v>complete</x:v>
      </x:c>
      <x:c r="AA155" s="21" t="str">
        <x:v>Source SCR-00974 supplies 15 evidence, 28 metric, and 1 governed tradeoff rows; use gate: eligible_with_study_context.</x:v>
      </x:c>
    </x:row>
    <x:row r="156" ht="42" customHeight="1">
      <x:c r="A156" s="21" t="str">
        <x:v>STC-SINGLETON-SCR-00975</x:v>
      </x:c>
      <x:c r="B156" s="21" t="str">
        <x:v>OISAC_SCR00975</x:v>
      </x:c>
      <x:c r="C156" s="21" t="str">
        <x:v>RPT-SCR-00975-01</x:v>
      </x:c>
      <x:c r="D156" s="21" t="str">
        <x:v>SCR-00975</x:v>
      </x:c>
      <x:c r="E156" s="21" t="str">
        <x:v>OISAC_SCR00975</x:v>
      </x:c>
      <x:c r="F156" s="21" t="str">
        <x:v>\cite{OISAC_SCR00975}</x:v>
      </x:c>
      <x:c r="G156" s="21" t="str">
        <x:v>primary_source</x:v>
      </x:c>
      <x:c r="H156" s="21" t="str">
        <x:v>none</x:v>
      </x:c>
      <x:c r="I156" s="21" t="str">
        <x:v>standalone_primary_report</x:v>
      </x:c>
      <x:c r="J156" s="21" t="str">
        <x:v>Radar-Centric Photonic Terahertz Integrated Sensing and Communication System Based on LFM-PSK Waveform</x:v>
      </x:c>
      <x:c r="K156" s="21" t="str">
        <x:v>Z. Lyu; L. Zhang; H. Zhang; Z. Yang; H. Yang; N. Li; L. Li; V. Bobrovs; O. Ozolins; X. Pang; X. Yu</x:v>
      </x:c>
      <x:c r="L156" s="23" t="str">
        <x:v>2023</x:v>
      </x:c>
      <x:c r="M156" s="21" t="str">
        <x:v>IEEE Transactions on Microwave Theory and Techniques</x:v>
      </x:c>
      <x:c r="N156" s="21" t="str">
        <x:v>10.1109/tmtt.2023.3267546</x:v>
      </x:c>
      <x:c r="O156" s="21" t="str">
        <x:v>https://doi.org/10.1109/tmtt.2023.3267546</x:v>
      </x:c>
      <x:c r="P156" s="21" t="str">
        <x:v>IEEE Journals</x:v>
      </x:c>
      <x:c r="Q156" s="23" t="str">
        <x:v>15</x:v>
      </x:c>
      <x:c r="R156" s="23" t="str">
        <x:v>27</x:v>
      </x:c>
      <x:c r="S156" s="23" t="str">
        <x:v>1</x:v>
      </x:c>
      <x:c r="T156" s="23" t="str">
        <x:v>0</x:v>
      </x:c>
      <x:c r="U156" s="23" t="str">
        <x:v>0</x:v>
      </x:c>
      <x:c r="V156" s="23" t="str">
        <x:v>0</x:v>
      </x:c>
      <x:c r="W156" s="23" t="str">
        <x:v>0</x:v>
      </x:c>
      <x:c r="X156" s="23" t="str">
        <x:v>0</x:v>
      </x:c>
      <x:c r="Y156" s="21" t="str">
        <x:v>eligible_with_study_context</x:v>
      </x:c>
      <x:c r="Z156" s="21" t="str">
        <x:v>complete</x:v>
      </x:c>
      <x:c r="AA156" s="21" t="str">
        <x:v>Source SCR-00975 supplies 15 evidence, 27 metric, and 1 governed tradeoff rows; use gate: eligible_with_study_context.</x:v>
      </x:c>
    </x:row>
    <x:row r="157" ht="42" customHeight="1">
      <x:c r="A157" s="21" t="str">
        <x:v>STC-SINGLETON-SCR-00977</x:v>
      </x:c>
      <x:c r="B157" s="21" t="str">
        <x:v>OISAC_SCR00977</x:v>
      </x:c>
      <x:c r="C157" s="21" t="str">
        <x:v>RPT-SCR-00977-01</x:v>
      </x:c>
      <x:c r="D157" s="21" t="str">
        <x:v>SCR-00977</x:v>
      </x:c>
      <x:c r="E157" s="21" t="str">
        <x:v>OISAC_SCR00977</x:v>
      </x:c>
      <x:c r="F157" s="21" t="str">
        <x:v>\cite{OISAC_SCR00977}</x:v>
      </x:c>
      <x:c r="G157" s="21" t="str">
        <x:v>primary_source</x:v>
      </x:c>
      <x:c r="H157" s="21" t="str">
        <x:v>none</x:v>
      </x:c>
      <x:c r="I157" s="21" t="str">
        <x:v>standalone_primary_report</x:v>
      </x:c>
      <x:c r="J157" s="21" t="str">
        <x:v>Photonics Terahertz Dual-Band Anti-Jamming Integrated Sensing and Communication System Empowered by Permutation Frequency Hopping</x:v>
      </x:c>
      <x:c r="K157" s="21" t="str">
        <x:v>N. Zhong; W. Bai; X. Zou; J. Deng; F. Liu; B. Ge; J. Hu; Y. Wu; T. He; W. Pan; L. Yan</x:v>
      </x:c>
      <x:c r="L157" s="23" t="str">
        <x:v>2026</x:v>
      </x:c>
      <x:c r="M157" s="21" t="str">
        <x:v>Journal of Lightwave Technology</x:v>
      </x:c>
      <x:c r="N157" s="21" t="str">
        <x:v>10.1109/jlt.2026.3651745</x:v>
      </x:c>
      <x:c r="O157" s="21" t="str">
        <x:v>https://doi.org/10.1109/jlt.2026.3651745</x:v>
      </x:c>
      <x:c r="P157" s="21" t="str">
        <x:v>IEEE Journals</x:v>
      </x:c>
      <x:c r="Q157" s="23" t="str">
        <x:v>12</x:v>
      </x:c>
      <x:c r="R157" s="23" t="str">
        <x:v>21</x:v>
      </x:c>
      <x:c r="S157" s="23" t="str">
        <x:v>2</x:v>
      </x:c>
      <x:c r="T157" s="23" t="str">
        <x:v>0</x:v>
      </x:c>
      <x:c r="U157" s="23" t="str">
        <x:v>0</x:v>
      </x:c>
      <x:c r="V157" s="23" t="str">
        <x:v>0</x:v>
      </x:c>
      <x:c r="W157" s="23" t="str">
        <x:v>0</x:v>
      </x:c>
      <x:c r="X157" s="23" t="str">
        <x:v>0</x:v>
      </x:c>
      <x:c r="Y157" s="21" t="str">
        <x:v>eligible_with_study_context</x:v>
      </x:c>
      <x:c r="Z157" s="21" t="str">
        <x:v>complete</x:v>
      </x:c>
      <x:c r="AA157" s="21" t="str">
        <x:v>Source SCR-00977 supplies 12 evidence, 21 metric, and 2 governed tradeoff rows; use gate: eligible_with_study_context.</x:v>
      </x:c>
    </x:row>
    <x:row r="158" ht="42" customHeight="1">
      <x:c r="A158" s="21" t="str">
        <x:v>STC-SINGLETON-SCR-00979</x:v>
      </x:c>
      <x:c r="B158" s="21" t="str">
        <x:v>OISAC_SCR00979</x:v>
      </x:c>
      <x:c r="C158" s="21" t="str">
        <x:v>RPT-SCR-00979-01</x:v>
      </x:c>
      <x:c r="D158" s="21" t="str">
        <x:v>SCR-00979</x:v>
      </x:c>
      <x:c r="E158" s="21" t="str">
        <x:v>OISAC_SCR00979</x:v>
      </x:c>
      <x:c r="F158" s="21" t="str">
        <x:v>\cite{OISAC_SCR00979}</x:v>
      </x:c>
      <x:c r="G158" s="21" t="str">
        <x:v>primary_source</x:v>
      </x:c>
      <x:c r="H158" s="21" t="str">
        <x:v>none</x:v>
      </x:c>
      <x:c r="I158" s="21" t="str">
        <x:v>standalone_primary_report</x:v>
      </x:c>
      <x:c r="J158" s="21" t="str">
        <x:v>Demonstration of Integrated Sensing and Communications in an ARoF-Based Radar System Utilizing Pulse Position Modulation</x:v>
      </x:c>
      <x:c r="K158" s="21" t="str">
        <x:v>S. Migla; N. Tihomorskis; K. Rubuls; D. Cirjulina; I. Murans; V. Kurtenoks; J. Braunfelds; S. Spolitis; O. Ozolins; D. Vovchuk; T. Salgals; P. Ginzburg; V. Bobrovs; A. Aboltins</x:v>
      </x:c>
      <x:c r="L158" s="23" t="str">
        <x:v>2026</x:v>
      </x:c>
      <x:c r="M158" s="21" t="str">
        <x:v>IEEE Access</x:v>
      </x:c>
      <x:c r="N158" s="21" t="str">
        <x:v>10.1109/access.2026.3693952</x:v>
      </x:c>
      <x:c r="O158" s="21" t="str">
        <x:v>https://doi.org/10.1109/access.2026.3693952</x:v>
      </x:c>
      <x:c r="P158" s="21" t="str">
        <x:v>IEEE Journals</x:v>
      </x:c>
      <x:c r="Q158" s="23" t="str">
        <x:v>13</x:v>
      </x:c>
      <x:c r="R158" s="23" t="str">
        <x:v>24</x:v>
      </x:c>
      <x:c r="S158" s="23" t="str">
        <x:v>2</x:v>
      </x:c>
      <x:c r="T158" s="23" t="str">
        <x:v>0</x:v>
      </x:c>
      <x:c r="U158" s="23" t="str">
        <x:v>0</x:v>
      </x:c>
      <x:c r="V158" s="23" t="str">
        <x:v>0</x:v>
      </x:c>
      <x:c r="W158" s="23" t="str">
        <x:v>0</x:v>
      </x:c>
      <x:c r="X158" s="23" t="str">
        <x:v>0</x:v>
      </x:c>
      <x:c r="Y158" s="21" t="str">
        <x:v>eligible_with_study_context</x:v>
      </x:c>
      <x:c r="Z158" s="21" t="str">
        <x:v>complete</x:v>
      </x:c>
      <x:c r="AA158" s="21" t="str">
        <x:v>Source SCR-00979 supplies 13 evidence, 24 metric, and 2 governed tradeoff rows; use gate: eligible_with_study_context.</x:v>
      </x:c>
    </x:row>
    <x:row r="159" ht="42" customHeight="1">
      <x:c r="A159" s="21" t="str">
        <x:v>STC-SINGLETON-SCR-00980</x:v>
      </x:c>
      <x:c r="B159" s="21" t="str">
        <x:v>OISAC_SCR00980</x:v>
      </x:c>
      <x:c r="C159" s="21" t="str">
        <x:v>RPT-SCR-00980-01</x:v>
      </x:c>
      <x:c r="D159" s="21" t="str">
        <x:v>SCR-00980</x:v>
      </x:c>
      <x:c r="E159" s="21" t="str">
        <x:v>OISAC_SCR00980</x:v>
      </x:c>
      <x:c r="F159" s="21" t="str">
        <x:v>\cite{OISAC_SCR00980}</x:v>
      </x:c>
      <x:c r="G159" s="21" t="str">
        <x:v>primary_source</x:v>
      </x:c>
      <x:c r="H159" s="21" t="str">
        <x:v>none</x:v>
      </x:c>
      <x:c r="I159" s="21" t="str">
        <x:v>standalone_primary_report</x:v>
      </x:c>
      <x:c r="J159" s="21" t="str">
        <x:v>Interference Cancellation for Optical Wireless ISAC Based on Optical Phased Array</x:v>
      </x:c>
      <x:c r="K159" s="21" t="str">
        <x:v>Y. Wen; F. Yang; J. Song; Z. Han</x:v>
      </x:c>
      <x:c r="L159" s="23" t="str">
        <x:v>2025</x:v>
      </x:c>
      <x:c r="M159" s="21" t="str">
        <x:v>GLOBECOM 2025 - 2025 IEEE Global Communications Conference</x:v>
      </x:c>
      <x:c r="N159" s="21" t="str">
        <x:v>10.1109/globecom59602.2025.11432561</x:v>
      </x:c>
      <x:c r="O159" s="21" t="str">
        <x:v>https://doi.org/10.1109/globecom59602.2025.11432561</x:v>
      </x:c>
      <x:c r="P159" s="21" t="str">
        <x:v>IEEE Conferences</x:v>
      </x:c>
      <x:c r="Q159" s="23" t="str">
        <x:v>12</x:v>
      </x:c>
      <x:c r="R159" s="23" t="str">
        <x:v>15</x:v>
      </x:c>
      <x:c r="S159" s="23" t="str">
        <x:v>1</x:v>
      </x:c>
      <x:c r="T159" s="23" t="str">
        <x:v>0</x:v>
      </x:c>
      <x:c r="U159" s="23" t="str">
        <x:v>0</x:v>
      </x:c>
      <x:c r="V159" s="23" t="str">
        <x:v>0</x:v>
      </x:c>
      <x:c r="W159" s="23" t="str">
        <x:v>0</x:v>
      </x:c>
      <x:c r="X159" s="23" t="str">
        <x:v>0</x:v>
      </x:c>
      <x:c r="Y159" s="21" t="str">
        <x:v>eligible_with_study_context</x:v>
      </x:c>
      <x:c r="Z159" s="21" t="str">
        <x:v>complete</x:v>
      </x:c>
      <x:c r="AA159" s="21" t="str">
        <x:v>Source SCR-00980 supplies 12 evidence, 15 metric, and 1 governed tradeoff rows; use gate: eligible_with_study_context.</x:v>
      </x:c>
    </x:row>
    <x:row r="160" ht="42" customHeight="1">
      <x:c r="A160" s="21" t="str">
        <x:v>STC-SINGLETON-SCR-00983</x:v>
      </x:c>
      <x:c r="B160" s="21" t="str">
        <x:v>OISAC_SCR00983</x:v>
      </x:c>
      <x:c r="C160" s="21" t="str">
        <x:v>RPT-SCR-00983-01</x:v>
      </x:c>
      <x:c r="D160" s="21" t="str">
        <x:v>SCR-00983</x:v>
      </x:c>
      <x:c r="E160" s="21" t="str">
        <x:v>OISAC_SCR00983</x:v>
      </x:c>
      <x:c r="F160" s="21" t="str">
        <x:v>\cite{OISAC_SCR00983}</x:v>
      </x:c>
      <x:c r="G160" s="21" t="str">
        <x:v>primary_source</x:v>
      </x:c>
      <x:c r="H160" s="21" t="str">
        <x:v>none</x:v>
      </x:c>
      <x:c r="I160" s="21" t="str">
        <x:v>standalone_primary_report</x:v>
      </x:c>
      <x:c r="J160" s="21" t="str">
        <x:v>A Spectrum-Efficient MoF Architecture for Joint Sensing and Communication in B5G Based on Polarization Interleaving and Polarization-Insensitive Filtering</x:v>
      </x:c>
      <x:c r="K160" s="21" t="str">
        <x:v>M. Lei; M. Zhu; B. Hua; J. Zhang; Y. Cai; Y. Zou; X. Liu; J. Yu</x:v>
      </x:c>
      <x:c r="L160" s="23" t="str">
        <x:v>2022</x:v>
      </x:c>
      <x:c r="M160" s="21" t="str">
        <x:v>Journal of Lightwave Technology</x:v>
      </x:c>
      <x:c r="N160" s="21" t="str">
        <x:v>10.1109/jlt.2022.3181608</x:v>
      </x:c>
      <x:c r="O160" s="21" t="str">
        <x:v>https://doi.org/10.1109/jlt.2022.3181608</x:v>
      </x:c>
      <x:c r="P160" s="21" t="str">
        <x:v>IEEE Journals</x:v>
      </x:c>
      <x:c r="Q160" s="23" t="str">
        <x:v>15</x:v>
      </x:c>
      <x:c r="R160" s="23" t="str">
        <x:v>34</x:v>
      </x:c>
      <x:c r="S160" s="23" t="str">
        <x:v>4</x:v>
      </x:c>
      <x:c r="T160" s="23" t="str">
        <x:v>0</x:v>
      </x:c>
      <x:c r="U160" s="23" t="str">
        <x:v>0</x:v>
      </x:c>
      <x:c r="V160" s="23" t="str">
        <x:v>0</x:v>
      </x:c>
      <x:c r="W160" s="23" t="str">
        <x:v>0</x:v>
      </x:c>
      <x:c r="X160" s="23" t="str">
        <x:v>0</x:v>
      </x:c>
      <x:c r="Y160" s="21" t="str">
        <x:v>eligible_with_study_context</x:v>
      </x:c>
      <x:c r="Z160" s="21" t="str">
        <x:v>complete</x:v>
      </x:c>
      <x:c r="AA160" s="21" t="str">
        <x:v>Source SCR-00983 supplies 15 evidence, 34 metric, and 4 governed tradeoff rows; use gate: eligible_with_study_context.</x:v>
      </x:c>
    </x:row>
    <x:row r="161" ht="42" customHeight="1">
      <x:c r="A161" s="21" t="str">
        <x:v>STC-SINGLETON-SCR-00985</x:v>
      </x:c>
      <x:c r="B161" s="21" t="str">
        <x:v>OISAC_SCR00985</x:v>
      </x:c>
      <x:c r="C161" s="21" t="str">
        <x:v>RPT-SCR-00985-01</x:v>
      </x:c>
      <x:c r="D161" s="21" t="str">
        <x:v>SCR-00985</x:v>
      </x:c>
      <x:c r="E161" s="21" t="str">
        <x:v>OISAC_SCR00985</x:v>
      </x:c>
      <x:c r="F161" s="21" t="str">
        <x:v>\cite{OISAC_SCR00985}</x:v>
      </x:c>
      <x:c r="G161" s="21" t="str">
        <x:v>primary_source</x:v>
      </x:c>
      <x:c r="H161" s="21" t="str">
        <x:v>none</x:v>
      </x:c>
      <x:c r="I161" s="21" t="str">
        <x:v>standalone_primary_report</x:v>
      </x:c>
      <x:c r="J161" s="21" t="str">
        <x:v>Photonic-Based Flexible Integrated Sensing and Communication With Multiple Targets Detection Capability for W-Band Fiber-Wireless Network</x:v>
      </x:c>
      <x:c r="K161" s="21" t="str">
        <x:v>B. Dong; J. Jia; Z. Li; G. Li; J. Shi; H. Wang; N. Chi; J. Zhang</x:v>
      </x:c>
      <x:c r="L161" s="23" t="str">
        <x:v>2024</x:v>
      </x:c>
      <x:c r="M161" s="21" t="str">
        <x:v>IEEE Transactions on Microwave Theory and Techniques</x:v>
      </x:c>
      <x:c r="N161" s="21" t="str">
        <x:v>10.1109/tmtt.2024.3355936</x:v>
      </x:c>
      <x:c r="O161" s="21" t="str">
        <x:v>https://doi.org/10.1109/tmtt.2024.3355936</x:v>
      </x:c>
      <x:c r="P161" s="21" t="str">
        <x:v>IEEE Journals</x:v>
      </x:c>
      <x:c r="Q161" s="23" t="str">
        <x:v>18</x:v>
      </x:c>
      <x:c r="R161" s="23" t="str">
        <x:v>46</x:v>
      </x:c>
      <x:c r="S161" s="23" t="str">
        <x:v>5</x:v>
      </x:c>
      <x:c r="T161" s="23" t="str">
        <x:v>0</x:v>
      </x:c>
      <x:c r="U161" s="23" t="str">
        <x:v>0</x:v>
      </x:c>
      <x:c r="V161" s="23" t="str">
        <x:v>0</x:v>
      </x:c>
      <x:c r="W161" s="23" t="str">
        <x:v>0</x:v>
      </x:c>
      <x:c r="X161" s="23" t="str">
        <x:v>0</x:v>
      </x:c>
      <x:c r="Y161" s="21" t="str">
        <x:v>eligible_with_study_context</x:v>
      </x:c>
      <x:c r="Z161" s="21" t="str">
        <x:v>complete</x:v>
      </x:c>
      <x:c r="AA161" s="21" t="str">
        <x:v>Source SCR-00985 supplies 18 evidence, 46 metric, and 5 governed tradeoff rows; use gate: eligible_with_study_context.</x:v>
      </x:c>
    </x:row>
    <x:row r="162" ht="42" customHeight="1">
      <x:c r="A162" s="21" t="str">
        <x:v>STC-SINGLETON-SCR-00986</x:v>
      </x:c>
      <x:c r="B162" s="21" t="str">
        <x:v>OISAC_SCR00986</x:v>
      </x:c>
      <x:c r="C162" s="21" t="str">
        <x:v>RPT-SCR-00986-01</x:v>
      </x:c>
      <x:c r="D162" s="21" t="str">
        <x:v>SCR-00986</x:v>
      </x:c>
      <x:c r="E162" s="21" t="str">
        <x:v>OISAC_SCR00986</x:v>
      </x:c>
      <x:c r="F162" s="21" t="str">
        <x:v>\cite{OISAC_SCR00986}</x:v>
      </x:c>
      <x:c r="G162" s="21" t="str">
        <x:v>primary_source</x:v>
      </x:c>
      <x:c r="H162" s="21" t="str">
        <x:v>none</x:v>
      </x:c>
      <x:c r="I162" s="21" t="str">
        <x:v>standalone_primary_report</x:v>
      </x:c>
      <x:c r="J162" s="21" t="str">
        <x:v>THz Integrated Sensing and Communication With Full-Photonic Direct LFM Reception and De-Chirping for D-Band Fiber-Wireless Network</x:v>
      </x:c>
      <x:c r="K162" s="21" t="str">
        <x:v>B. Dong; Z. Li; S. Xing; Y. Liu; J. Zhao; O. Huang; J. Jia; J. Shi; Y. Zhou; H. Wang; N. Chi; J. Zhang</x:v>
      </x:c>
      <x:c r="L162" s="23" t="str">
        <x:v>2025</x:v>
      </x:c>
      <x:c r="M162" s="21" t="str">
        <x:v>IEEE Transactions on Microwave Theory and Techniques</x:v>
      </x:c>
      <x:c r="N162" s="21" t="str">
        <x:v>10.1109/tmtt.2025.3549729</x:v>
      </x:c>
      <x:c r="O162" s="21" t="str">
        <x:v>https://doi.org/10.1109/tmtt.2025.3549729</x:v>
      </x:c>
      <x:c r="P162" s="21" t="str">
        <x:v>IEEE Journals</x:v>
      </x:c>
      <x:c r="Q162" s="23" t="str">
        <x:v>18</x:v>
      </x:c>
      <x:c r="R162" s="23" t="str">
        <x:v>45</x:v>
      </x:c>
      <x:c r="S162" s="23" t="str">
        <x:v>5</x:v>
      </x:c>
      <x:c r="T162" s="23" t="str">
        <x:v>0</x:v>
      </x:c>
      <x:c r="U162" s="23" t="str">
        <x:v>0</x:v>
      </x:c>
      <x:c r="V162" s="23" t="str">
        <x:v>0</x:v>
      </x:c>
      <x:c r="W162" s="23" t="str">
        <x:v>0</x:v>
      </x:c>
      <x:c r="X162" s="23" t="str">
        <x:v>0</x:v>
      </x:c>
      <x:c r="Y162" s="21" t="str">
        <x:v>eligible_with_study_context</x:v>
      </x:c>
      <x:c r="Z162" s="21" t="str">
        <x:v>complete</x:v>
      </x:c>
      <x:c r="AA162" s="21" t="str">
        <x:v>Source SCR-00986 supplies 18 evidence, 45 metric, and 5 governed tradeoff rows; use gate: eligible_with_study_context.</x:v>
      </x:c>
    </x:row>
    <x:row r="163" ht="42" customHeight="1">
      <x:c r="A163" s="21" t="str">
        <x:v>STC-SINGLETON-SCR-00990</x:v>
      </x:c>
      <x:c r="B163" s="21" t="str">
        <x:v>OISAC_SCR00990</x:v>
      </x:c>
      <x:c r="C163" s="21" t="str">
        <x:v>RPT-SCR-00990-01</x:v>
      </x:c>
      <x:c r="D163" s="21" t="str">
        <x:v>SCR-00990</x:v>
      </x:c>
      <x:c r="E163" s="21" t="str">
        <x:v>OISAC_SCR00990</x:v>
      </x:c>
      <x:c r="F163" s="21" t="str">
        <x:v>\cite{OISAC_SCR00990}</x:v>
      </x:c>
      <x:c r="G163" s="21" t="str">
        <x:v>primary_source</x:v>
      </x:c>
      <x:c r="H163" s="21" t="str">
        <x:v>none</x:v>
      </x:c>
      <x:c r="I163" s="21" t="str">
        <x:v>standalone_primary_report</x:v>
      </x:c>
      <x:c r="J163" s="21" t="str">
        <x:v>Preamble-Free Synchronization Based on Dual-chirp Waveforms for Photonic THz-ISAC</x:v>
      </x:c>
      <x:c r="K163" s="21" t="str">
        <x:v>Z. Lyu; L. Zhang; H. Zhang; Z. Yang; H. Yang; L. Li; C. Zhang; V. Bobrovs; O. Ozolins; X. Pang; X. Yu</x:v>
      </x:c>
      <x:c r="L163" s="23" t="str">
        <x:v>2024</x:v>
      </x:c>
      <x:c r="M163" s="21" t="str">
        <x:v>Journal of Lightwave Technology</x:v>
      </x:c>
      <x:c r="N163" s="21" t="str">
        <x:v>10.1109/jlt.2023.3344788</x:v>
      </x:c>
      <x:c r="O163" s="21" t="str">
        <x:v>https://doi.org/10.1109/jlt.2023.3344788</x:v>
      </x:c>
      <x:c r="P163" s="21" t="str">
        <x:v>IEEE Journals</x:v>
      </x:c>
      <x:c r="Q163" s="23" t="str">
        <x:v>15</x:v>
      </x:c>
      <x:c r="R163" s="23" t="str">
        <x:v>24</x:v>
      </x:c>
      <x:c r="S163" s="23" t="str">
        <x:v>2</x:v>
      </x:c>
      <x:c r="T163" s="23" t="str">
        <x:v>0</x:v>
      </x:c>
      <x:c r="U163" s="23" t="str">
        <x:v>0</x:v>
      </x:c>
      <x:c r="V163" s="23" t="str">
        <x:v>0</x:v>
      </x:c>
      <x:c r="W163" s="23" t="str">
        <x:v>0</x:v>
      </x:c>
      <x:c r="X163" s="23" t="str">
        <x:v>0</x:v>
      </x:c>
      <x:c r="Y163" s="21" t="str">
        <x:v>eligible_with_study_context</x:v>
      </x:c>
      <x:c r="Z163" s="21" t="str">
        <x:v>complete</x:v>
      </x:c>
      <x:c r="AA163" s="21" t="str">
        <x:v>Source SCR-00990 supplies 15 evidence, 24 metric, and 2 governed tradeoff rows; use gate: eligible_with_study_context.</x:v>
      </x:c>
    </x:row>
    <x:row r="164" ht="42" customHeight="1">
      <x:c r="A164" s="21" t="str">
        <x:v>STC-SINGLETON-SCR-00992</x:v>
      </x:c>
      <x:c r="B164" s="21" t="str">
        <x:v>OISAC_SCR00992</x:v>
      </x:c>
      <x:c r="C164" s="21" t="str">
        <x:v>RPT-SCR-00992-01</x:v>
      </x:c>
      <x:c r="D164" s="21" t="str">
        <x:v>SCR-00992</x:v>
      </x:c>
      <x:c r="E164" s="21" t="str">
        <x:v>OISAC_SCR00992</x:v>
      </x:c>
      <x:c r="F164" s="21" t="str">
        <x:v>\cite{OISAC_SCR00992}</x:v>
      </x:c>
      <x:c r="G164" s="21" t="str">
        <x:v>primary_source</x:v>
      </x:c>
      <x:c r="H164" s="21" t="str">
        <x:v>none</x:v>
      </x:c>
      <x:c r="I164" s="21" t="str">
        <x:v>standalone_primary_report</x:v>
      </x:c>
      <x:c r="J164" s="21" t="str">
        <x:v>Photonic Frequency-Hopped THz ISAC-Enabled by Electro-Optically Tunable Laser</x:v>
      </x:c>
      <x:c r="K164" s="21" t="str">
        <x:v>S. Ye; Y. Mikami; Y. Kamiura; R. Kaide; M. Kawano; Y. Wang; B. Li; M. Che; Y. Ueda; K. Kato</x:v>
      </x:c>
      <x:c r="L164" s="23" t="str">
        <x:v>2026</x:v>
      </x:c>
      <x:c r="M164" s="21" t="str">
        <x:v>IEEE Photonics Technology Letters</x:v>
      </x:c>
      <x:c r="N164" s="21" t="str">
        <x:v>10.1109/lpt.2026.3681462</x:v>
      </x:c>
      <x:c r="O164" s="21" t="str">
        <x:v>https://doi.org/10.1109/lpt.2026.3681462</x:v>
      </x:c>
      <x:c r="P164" s="21" t="str">
        <x:v>IEEE Journals</x:v>
      </x:c>
      <x:c r="Q164" s="23" t="str">
        <x:v>13</x:v>
      </x:c>
      <x:c r="R164" s="23" t="str">
        <x:v>20</x:v>
      </x:c>
      <x:c r="S164" s="23" t="str">
        <x:v>0</x:v>
      </x:c>
      <x:c r="T164" s="23" t="str">
        <x:v>0</x:v>
      </x:c>
      <x:c r="U164" s="23" t="str">
        <x:v>0</x:v>
      </x:c>
      <x:c r="V164" s="23" t="str">
        <x:v>0</x:v>
      </x:c>
      <x:c r="W164" s="23" t="str">
        <x:v>0</x:v>
      </x:c>
      <x:c r="X164" s="23" t="str">
        <x:v>0</x:v>
      </x:c>
      <x:c r="Y164" s="21" t="str">
        <x:v>eligible_with_study_context</x:v>
      </x:c>
      <x:c r="Z164" s="21" t="str">
        <x:v>complete</x:v>
      </x:c>
      <x:c r="AA164" s="21" t="str">
        <x:v>Source SCR-00992 supplies 13 evidence, 20 metric, and 0 governed tradeoff rows; use gate: eligible_with_study_context.</x:v>
      </x:c>
    </x:row>
    <x:row r="165" ht="42" customHeight="1">
      <x:c r="A165" s="21" t="str">
        <x:v>STC-SINGLETON-SCR-00994</x:v>
      </x:c>
      <x:c r="B165" s="21" t="str">
        <x:v>OISAC_SCR00994</x:v>
      </x:c>
      <x:c r="C165" s="21" t="str">
        <x:v>RPT-SCR-00994-01</x:v>
      </x:c>
      <x:c r="D165" s="21" t="str">
        <x:v>SCR-00994</x:v>
      </x:c>
      <x:c r="E165" s="21" t="str">
        <x:v>OISAC_SCR00994</x:v>
      </x:c>
      <x:c r="F165" s="21" t="str">
        <x:v>\cite{OISAC_SCR00994}</x:v>
      </x:c>
      <x:c r="G165" s="21" t="str">
        <x:v>primary_source</x:v>
      </x:c>
      <x:c r="H165" s="21" t="str">
        <x:v>none</x:v>
      </x:c>
      <x:c r="I165" s="21" t="str">
        <x:v>standalone_primary_report</x:v>
      </x:c>
      <x:c r="J165" s="21" t="str">
        <x:v>A Cross-Correlation MUSIC Scheme Based on OFDM for Photonics-Aided W-Band ISAC Systems</x:v>
      </x:c>
      <x:c r="K165" s="21" t="str">
        <x:v>J. He; J. Li; K. Liu; S. Xiao; Z. Chen</x:v>
      </x:c>
      <x:c r="L165" s="23" t="str">
        <x:v>2026</x:v>
      </x:c>
      <x:c r="M165" s="21" t="str">
        <x:v>IEEE Photonics Technology Letters</x:v>
      </x:c>
      <x:c r="N165" s="21" t="str">
        <x:v>10.1109/lpt.2026.3651116</x:v>
      </x:c>
      <x:c r="O165" s="21" t="str">
        <x:v>https://doi.org/10.1109/lpt.2026.3651116</x:v>
      </x:c>
      <x:c r="P165" s="21" t="str">
        <x:v>IEEE Journals</x:v>
      </x:c>
      <x:c r="Q165" s="23" t="str">
        <x:v>12</x:v>
      </x:c>
      <x:c r="R165" s="23" t="str">
        <x:v>20</x:v>
      </x:c>
      <x:c r="S165" s="23" t="str">
        <x:v>1</x:v>
      </x:c>
      <x:c r="T165" s="23" t="str">
        <x:v>0</x:v>
      </x:c>
      <x:c r="U165" s="23" t="str">
        <x:v>0</x:v>
      </x:c>
      <x:c r="V165" s="23" t="str">
        <x:v>0</x:v>
      </x:c>
      <x:c r="W165" s="23" t="str">
        <x:v>0</x:v>
      </x:c>
      <x:c r="X165" s="23" t="str">
        <x:v>0</x:v>
      </x:c>
      <x:c r="Y165" s="21" t="str">
        <x:v>eligible_with_study_context</x:v>
      </x:c>
      <x:c r="Z165" s="21" t="str">
        <x:v>complete</x:v>
      </x:c>
      <x:c r="AA165" s="21" t="str">
        <x:v>Source SCR-00994 supplies 12 evidence, 20 metric, and 1 governed tradeoff rows; use gate: eligible_with_study_context.</x:v>
      </x:c>
    </x:row>
    <x:row r="166" ht="42" customHeight="1">
      <x:c r="A166" s="21" t="str">
        <x:v>STC-SINGLETON-SCR-00996</x:v>
      </x:c>
      <x:c r="B166" s="21" t="str">
        <x:v>OISAC_SCR00996</x:v>
      </x:c>
      <x:c r="C166" s="21" t="str">
        <x:v>RPT-SCR-00996-01</x:v>
      </x:c>
      <x:c r="D166" s="21" t="str">
        <x:v>SCR-00996</x:v>
      </x:c>
      <x:c r="E166" s="21" t="str">
        <x:v>OISAC_SCR00996</x:v>
      </x:c>
      <x:c r="F166" s="21" t="str">
        <x:v>\cite{OISAC_SCR00996}</x:v>
      </x:c>
      <x:c r="G166" s="21" t="str">
        <x:v>primary_source</x:v>
      </x:c>
      <x:c r="H166" s="21" t="str">
        <x:v>none</x:v>
      </x:c>
      <x:c r="I166" s="21" t="str">
        <x:v>standalone_primary_report</x:v>
      </x:c>
      <x:c r="J166" s="21" t="str">
        <x:v>Microwave Photonic Integrated Sensing and Communication Based on Polarization Multiplexing and Frequency-to-Time Mapping</x:v>
      </x:c>
      <x:c r="K166" s="21" t="str">
        <x:v>J. Gao; D. Liang; T. Shi; Y. Chen</x:v>
      </x:c>
      <x:c r="L166" s="23" t="str">
        <x:v>2025</x:v>
      </x:c>
      <x:c r="M166" s="21" t="str">
        <x:v>IEEE Internet of Things Journal</x:v>
      </x:c>
      <x:c r="N166" s="21" t="str">
        <x:v>10.1109/jiot.2025.3542099</x:v>
      </x:c>
      <x:c r="O166" s="21" t="str">
        <x:v>https://doi.org/10.1109/jiot.2025.3542099</x:v>
      </x:c>
      <x:c r="P166" s="21" t="str">
        <x:v>IEEE Journals</x:v>
      </x:c>
      <x:c r="Q166" s="23" t="str">
        <x:v>13</x:v>
      </x:c>
      <x:c r="R166" s="23" t="str">
        <x:v>29</x:v>
      </x:c>
      <x:c r="S166" s="23" t="str">
        <x:v>4</x:v>
      </x:c>
      <x:c r="T166" s="23" t="str">
        <x:v>0</x:v>
      </x:c>
      <x:c r="U166" s="23" t="str">
        <x:v>0</x:v>
      </x:c>
      <x:c r="V166" s="23" t="str">
        <x:v>0</x:v>
      </x:c>
      <x:c r="W166" s="23" t="str">
        <x:v>0</x:v>
      </x:c>
      <x:c r="X166" s="23" t="str">
        <x:v>0</x:v>
      </x:c>
      <x:c r="Y166" s="21" t="str">
        <x:v>eligible_with_study_context</x:v>
      </x:c>
      <x:c r="Z166" s="21" t="str">
        <x:v>complete</x:v>
      </x:c>
      <x:c r="AA166" s="21" t="str">
        <x:v>Source SCR-00996 supplies 13 evidence, 29 metric, and 4 governed tradeoff rows; use gate: eligible_with_study_context.</x:v>
      </x:c>
    </x:row>
    <x:row r="167" ht="42" customHeight="1">
      <x:c r="A167" s="21" t="str">
        <x:v>STC-SINGLETON-SCR-00998</x:v>
      </x:c>
      <x:c r="B167" s="21" t="str">
        <x:v>OISAC_SCR00998</x:v>
      </x:c>
      <x:c r="C167" s="21" t="str">
        <x:v>RPT-SCR-00998-01</x:v>
      </x:c>
      <x:c r="D167" s="21" t="str">
        <x:v>SCR-00998</x:v>
      </x:c>
      <x:c r="E167" s="21" t="str">
        <x:v>OISAC_SCR00998</x:v>
      </x:c>
      <x:c r="F167" s="21" t="str">
        <x:v>\cite{OISAC_SCR00998}</x:v>
      </x:c>
      <x:c r="G167" s="21" t="str">
        <x:v>primary_source</x:v>
      </x:c>
      <x:c r="H167" s="21" t="str">
        <x:v>none</x:v>
      </x:c>
      <x:c r="I167" s="21" t="str">
        <x:v>standalone_primary_report</x:v>
      </x:c>
      <x:c r="J167" s="21" t="str">
        <x:v>An Orthogonal Time Frequency Space Waveform With W-MUSIC Scheme for Photonic-Aided ISAC System</x:v>
      </x:c>
      <x:c r="K167" s="21" t="str">
        <x:v>J. He; K. Liu; L. Yin; Z. Chen</x:v>
      </x:c>
      <x:c r="L167" s="23" t="str">
        <x:v>2026</x:v>
      </x:c>
      <x:c r="M167" s="21" t="str">
        <x:v>IEEE Photonics Technology Letters</x:v>
      </x:c>
      <x:c r="N167" s="21" t="str">
        <x:v>10.1109/lpt.2026.3681817</x:v>
      </x:c>
      <x:c r="O167" s="21" t="str">
        <x:v>https://doi.org/10.1109/lpt.2026.3681817</x:v>
      </x:c>
      <x:c r="P167" s="21" t="str">
        <x:v>IEEE Journals</x:v>
      </x:c>
      <x:c r="Q167" s="23" t="str">
        <x:v>12</x:v>
      </x:c>
      <x:c r="R167" s="23" t="str">
        <x:v>30</x:v>
      </x:c>
      <x:c r="S167" s="23" t="str">
        <x:v>1</x:v>
      </x:c>
      <x:c r="T167" s="23" t="str">
        <x:v>0</x:v>
      </x:c>
      <x:c r="U167" s="23" t="str">
        <x:v>0</x:v>
      </x:c>
      <x:c r="V167" s="23" t="str">
        <x:v>0</x:v>
      </x:c>
      <x:c r="W167" s="23" t="str">
        <x:v>0</x:v>
      </x:c>
      <x:c r="X167" s="23" t="str">
        <x:v>0</x:v>
      </x:c>
      <x:c r="Y167" s="21" t="str">
        <x:v>eligible_with_study_context</x:v>
      </x:c>
      <x:c r="Z167" s="21" t="str">
        <x:v>complete</x:v>
      </x:c>
      <x:c r="AA167" s="21" t="str">
        <x:v>Source SCR-00998 supplies 12 evidence, 30 metric, and 1 governed tradeoff rows; use gate: eligible_with_study_context.</x:v>
      </x:c>
    </x:row>
    <x:row r="168" ht="42" customHeight="1">
      <x:c r="A168" s="21" t="str">
        <x:v>STC-SINGLETON-SCR-01000</x:v>
      </x:c>
      <x:c r="B168" s="21" t="str">
        <x:v>OISAC_SCR01000</x:v>
      </x:c>
      <x:c r="C168" s="21" t="str">
        <x:v>RPT-SCR-01000-01</x:v>
      </x:c>
      <x:c r="D168" s="21" t="str">
        <x:v>SCR-01000</x:v>
      </x:c>
      <x:c r="E168" s="21" t="str">
        <x:v>OISAC_SCR01000</x:v>
      </x:c>
      <x:c r="F168" s="21" t="str">
        <x:v>\cite{OISAC_SCR01000}</x:v>
      </x:c>
      <x:c r="G168" s="21" t="str">
        <x:v>primary_source</x:v>
      </x:c>
      <x:c r="H168" s="21" t="str">
        <x:v>none</x:v>
      </x:c>
      <x:c r="I168" s="21" t="str">
        <x:v>standalone_primary_report</x:v>
      </x:c>
      <x:c r="J168" s="21" t="str">
        <x:v>Simultaneous Full-Photonic Dechirping and Demodulation THz-ISAC System Based on Thin-Film Lithium Niobate Modulator</x:v>
      </x:c>
      <x:c r="K168" s="21" t="str">
        <x:v>Z. Wang; X. Ji; Z. Qiu; Z. Cai; F. Yin; Y. Dai; K. Xu</x:v>
      </x:c>
      <x:c r="L168" s="23" t="str">
        <x:v>2026</x:v>
      </x:c>
      <x:c r="M168" s="21" t="str">
        <x:v>Journal of Lightwave Technology</x:v>
      </x:c>
      <x:c r="N168" s="21" t="str">
        <x:v>10.1109/jlt.2026.3672125</x:v>
      </x:c>
      <x:c r="O168" s="21" t="str">
        <x:v>https://doi.org/10.1109/jlt.2026.3672125</x:v>
      </x:c>
      <x:c r="P168" s="21" t="str">
        <x:v>IEEE Journals</x:v>
      </x:c>
      <x:c r="Q168" s="23" t="str">
        <x:v>15</x:v>
      </x:c>
      <x:c r="R168" s="23" t="str">
        <x:v>39</x:v>
      </x:c>
      <x:c r="S168" s="23" t="str">
        <x:v>4</x:v>
      </x:c>
      <x:c r="T168" s="23" t="str">
        <x:v>0</x:v>
      </x:c>
      <x:c r="U168" s="23" t="str">
        <x:v>0</x:v>
      </x:c>
      <x:c r="V168" s="23" t="str">
        <x:v>0</x:v>
      </x:c>
      <x:c r="W168" s="23" t="str">
        <x:v>0</x:v>
      </x:c>
      <x:c r="X168" s="23" t="str">
        <x:v>0</x:v>
      </x:c>
      <x:c r="Y168" s="21" t="str">
        <x:v>eligible_with_study_context</x:v>
      </x:c>
      <x:c r="Z168" s="21" t="str">
        <x:v>complete</x:v>
      </x:c>
      <x:c r="AA168" s="21" t="str">
        <x:v>Source SCR-01000 supplies 15 evidence, 39 metric, and 4 governed tradeoff rows; use gate: eligible_with_study_context.</x:v>
      </x:c>
    </x:row>
    <x:row r="169" ht="42" customHeight="1">
      <x:c r="A169" s="21" t="str">
        <x:v>STC-SINGLETON-SCR-01001</x:v>
      </x:c>
      <x:c r="B169" s="21" t="str">
        <x:v>OISAC_SCR01001</x:v>
      </x:c>
      <x:c r="C169" s="21" t="str">
        <x:v>RPT-SCR-01001-01</x:v>
      </x:c>
      <x:c r="D169" s="21" t="str">
        <x:v>SCR-01001</x:v>
      </x:c>
      <x:c r="E169" s="21" t="str">
        <x:v>OISAC_SCR01001</x:v>
      </x:c>
      <x:c r="F169" s="21" t="str">
        <x:v>\cite{OISAC_SCR01001}</x:v>
      </x:c>
      <x:c r="G169" s="21" t="str">
        <x:v>primary_source</x:v>
      </x:c>
      <x:c r="H169" s="21" t="str">
        <x:v>none</x:v>
      </x:c>
      <x:c r="I169" s="21" t="str">
        <x:v>standalone_primary_report</x:v>
      </x:c>
      <x:c r="J169" s="21" t="str">
        <x:v>Movable Access Point-Aided Integrated Visible Light Communication and Sensing Networks</x:v>
      </x:c>
      <x:c r="K169" s="21" t="str">
        <x:v>Z. Saghir; S. Aboagye</x:v>
      </x:c>
      <x:c r="L169" s="23" t="str">
        <x:v>2025</x:v>
      </x:c>
      <x:c r="M169" s="21" t="str">
        <x:v>IEEE Wireless Communications Letters</x:v>
      </x:c>
      <x:c r="N169" s="21" t="str">
        <x:v>10.1109/lwc.2024.3521192</x:v>
      </x:c>
      <x:c r="O169" s="21" t="str">
        <x:v>https://doi.org/10.1109/lwc.2024.3521192</x:v>
      </x:c>
      <x:c r="P169" s="21" t="str">
        <x:v>IEEE Journals</x:v>
      </x:c>
      <x:c r="Q169" s="23" t="str">
        <x:v>16</x:v>
      </x:c>
      <x:c r="R169" s="23" t="str">
        <x:v>35</x:v>
      </x:c>
      <x:c r="S169" s="23" t="str">
        <x:v>3</x:v>
      </x:c>
      <x:c r="T169" s="23" t="str">
        <x:v>0</x:v>
      </x:c>
      <x:c r="U169" s="23" t="str">
        <x:v>0</x:v>
      </x:c>
      <x:c r="V169" s="23" t="str">
        <x:v>0</x:v>
      </x:c>
      <x:c r="W169" s="23" t="str">
        <x:v>0</x:v>
      </x:c>
      <x:c r="X169" s="23" t="str">
        <x:v>0</x:v>
      </x:c>
      <x:c r="Y169" s="21" t="str">
        <x:v>eligible_with_study_context</x:v>
      </x:c>
      <x:c r="Z169" s="21" t="str">
        <x:v>complete</x:v>
      </x:c>
      <x:c r="AA169" s="21" t="str">
        <x:v>Source SCR-01001 supplies 16 evidence, 35 metric, and 3 governed tradeoff rows; use gate: eligible_with_study_context.</x:v>
      </x:c>
    </x:row>
    <x:row r="170" ht="42" customHeight="1">
      <x:c r="A170" s="21" t="str">
        <x:v>STC-SINGLETON-SCR-01004</x:v>
      </x:c>
      <x:c r="B170" s="21" t="str">
        <x:v>OISAC_SCR01004</x:v>
      </x:c>
      <x:c r="C170" s="21" t="str">
        <x:v>RPT-SCR-01004-01</x:v>
      </x:c>
      <x:c r="D170" s="21" t="str">
        <x:v>SCR-01004</x:v>
      </x:c>
      <x:c r="E170" s="21" t="str">
        <x:v>OISAC_SCR01004</x:v>
      </x:c>
      <x:c r="F170" s="21" t="str">
        <x:v>\cite{OISAC_SCR01004}</x:v>
      </x:c>
      <x:c r="G170" s="21" t="str">
        <x:v>primary_source</x:v>
      </x:c>
      <x:c r="H170" s="21" t="str">
        <x:v>none</x:v>
      </x:c>
      <x:c r="I170" s="21" t="str">
        <x:v>standalone_primary_report</x:v>
      </x:c>
      <x:c r="J170" s="21" t="str">
        <x:v>Sliding Window-Based LSTM Scheme for PAM-4 Photonics-Assisted W-Band ISAC Systems</x:v>
      </x:c>
      <x:c r="K170" s="21" t="str">
        <x:v>J. He; S. Xiao; C. Ying; Z. Chen; Y. Xiao</x:v>
      </x:c>
      <x:c r="L170" s="23" t="str">
        <x:v>2026</x:v>
      </x:c>
      <x:c r="M170" s="21" t="str">
        <x:v>IEEE Photonics Technology Letters</x:v>
      </x:c>
      <x:c r="N170" s="21" t="str">
        <x:v>10.1109/lpt.2025.3614902</x:v>
      </x:c>
      <x:c r="O170" s="21" t="str">
        <x:v>https://doi.org/10.1109/lpt.2025.3614902</x:v>
      </x:c>
      <x:c r="P170" s="21" t="str">
        <x:v>IEEE Journals</x:v>
      </x:c>
      <x:c r="Q170" s="23" t="str">
        <x:v>16</x:v>
      </x:c>
      <x:c r="R170" s="23" t="str">
        <x:v>46</x:v>
      </x:c>
      <x:c r="S170" s="23" t="str">
        <x:v>3</x:v>
      </x:c>
      <x:c r="T170" s="23" t="str">
        <x:v>0</x:v>
      </x:c>
      <x:c r="U170" s="23" t="str">
        <x:v>0</x:v>
      </x:c>
      <x:c r="V170" s="23" t="str">
        <x:v>0</x:v>
      </x:c>
      <x:c r="W170" s="23" t="str">
        <x:v>0</x:v>
      </x:c>
      <x:c r="X170" s="23" t="str">
        <x:v>0</x:v>
      </x:c>
      <x:c r="Y170" s="21" t="str">
        <x:v>eligible_with_study_context</x:v>
      </x:c>
      <x:c r="Z170" s="21" t="str">
        <x:v>complete</x:v>
      </x:c>
      <x:c r="AA170" s="21" t="str">
        <x:v>Source SCR-01004 supplies 16 evidence, 46 metric, and 3 governed tradeoff rows; use gate: eligible_with_study_context.</x:v>
      </x:c>
    </x:row>
    <x:row r="171" ht="42" customHeight="1">
      <x:c r="A171" s="21" t="str">
        <x:v>STC-SINGLETON-SCR-01006</x:v>
      </x:c>
      <x:c r="B171" s="21" t="str">
        <x:v>OISAC_SCR01006</x:v>
      </x:c>
      <x:c r="C171" s="21" t="str">
        <x:v>RPT-SCR-01006-01</x:v>
      </x:c>
      <x:c r="D171" s="21" t="str">
        <x:v>SCR-01006</x:v>
      </x:c>
      <x:c r="E171" s="21" t="str">
        <x:v>OISAC_SCR01006</x:v>
      </x:c>
      <x:c r="F171" s="21" t="str">
        <x:v>\cite{OISAC_SCR01006}</x:v>
      </x:c>
      <x:c r="G171" s="21" t="str">
        <x:v>primary_source</x:v>
      </x:c>
      <x:c r="H171" s="21" t="str">
        <x:v>none</x:v>
      </x:c>
      <x:c r="I171" s="21" t="str">
        <x:v>standalone_primary_report</x:v>
      </x:c>
      <x:c r="J171" s="21" t="str">
        <x:v>Co-Route Fiber Recognition and Status Diagnosis Based on Integrated Sensing and Communication in 6G Transport Networks</x:v>
      </x:c>
      <x:c r="K171" s="21" t="str">
        <x:v>Z. Wang; H. Yang; Y. Li; Q. Yao; T. Yu; C. Zhang; W. Liu; W. Lin; J. Zhang; Y. Liu; M. Cheriet</x:v>
      </x:c>
      <x:c r="L171" s="23" t="str">
        <x:v>2024</x:v>
      </x:c>
      <x:c r="M171" s="21" t="str">
        <x:v>IEEE Internet of Things Journal</x:v>
      </x:c>
      <x:c r="N171" s="21" t="str">
        <x:v>10.1109/jiot.2024.3414863</x:v>
      </x:c>
      <x:c r="O171" s="21" t="str">
        <x:v>https://doi.org/10.1109/jiot.2024.3414863</x:v>
      </x:c>
      <x:c r="P171" s="21" t="str">
        <x:v>IEEE Journals</x:v>
      </x:c>
      <x:c r="Q171" s="23" t="str">
        <x:v>18</x:v>
      </x:c>
      <x:c r="R171" s="23" t="str">
        <x:v>39</x:v>
      </x:c>
      <x:c r="S171" s="23" t="str">
        <x:v>3</x:v>
      </x:c>
      <x:c r="T171" s="23" t="str">
        <x:v>0</x:v>
      </x:c>
      <x:c r="U171" s="23" t="str">
        <x:v>0</x:v>
      </x:c>
      <x:c r="V171" s="23" t="str">
        <x:v>0</x:v>
      </x:c>
      <x:c r="W171" s="23" t="str">
        <x:v>0</x:v>
      </x:c>
      <x:c r="X171" s="23" t="str">
        <x:v>0</x:v>
      </x:c>
      <x:c r="Y171" s="21" t="str">
        <x:v>eligible_with_study_context</x:v>
      </x:c>
      <x:c r="Z171" s="21" t="str">
        <x:v>complete</x:v>
      </x:c>
      <x:c r="AA171" s="21" t="str">
        <x:v>Source SCR-01006 supplies 18 evidence, 39 metric, and 3 governed tradeoff rows; use gate: eligible_with_study_context.</x:v>
      </x:c>
    </x:row>
    <x:row r="172" ht="42" customHeight="1">
      <x:c r="A172" s="21" t="str">
        <x:v>STC-SINGLETON-SCR-01008</x:v>
      </x:c>
      <x:c r="B172" s="21" t="str">
        <x:v>OISAC_SCR01008</x:v>
      </x:c>
      <x:c r="C172" s="21" t="str">
        <x:v>RPT-SCR-01008-01</x:v>
      </x:c>
      <x:c r="D172" s="21" t="str">
        <x:v>SCR-01008</x:v>
      </x:c>
      <x:c r="E172" s="21" t="str">
        <x:v>OISAC_SCR01008</x:v>
      </x:c>
      <x:c r="F172" s="21" t="str">
        <x:v>\cite{OISAC_SCR01008}</x:v>
      </x:c>
      <x:c r="G172" s="21" t="str">
        <x:v>primary_source</x:v>
      </x:c>
      <x:c r="H172" s="21" t="str">
        <x:v>none</x:v>
      </x:c>
      <x:c r="I172" s="21" t="str">
        <x:v>standalone_primary_report</x:v>
      </x:c>
      <x:c r="J172" s="21" t="str">
        <x:v>Submarine integrated sensing and communication cable networks enable high-precision earthquake location estimation through linear wavefront theory</x:v>
      </x:c>
      <x:c r="K172" s="21" t="str">
        <x:v>T. Li; B. Yue; S. Chen; Y. Wu; W. Huang; C. Li; Z. He; L. Lin; Z. Li</x:v>
      </x:c>
      <x:c r="L172" s="23" t="str">
        <x:v>2026</x:v>
      </x:c>
      <x:c r="M172" s="21" t="str">
        <x:v>Journal of Optical Communications and Networking</x:v>
      </x:c>
      <x:c r="N172" s="21" t="str">
        <x:v>10.1364/jocn.585552</x:v>
      </x:c>
      <x:c r="O172" s="21" t="str">
        <x:v>https://doi.org/10.1364/jocn.585552</x:v>
      </x:c>
      <x:c r="P172" s="21" t="str">
        <x:v>IEEE Journals</x:v>
      </x:c>
      <x:c r="Q172" s="23" t="str">
        <x:v>15</x:v>
      </x:c>
      <x:c r="R172" s="23" t="str">
        <x:v>20</x:v>
      </x:c>
      <x:c r="S172" s="23" t="str">
        <x:v>0</x:v>
      </x:c>
      <x:c r="T172" s="23" t="str">
        <x:v>0</x:v>
      </x:c>
      <x:c r="U172" s="23" t="str">
        <x:v>0</x:v>
      </x:c>
      <x:c r="V172" s="23" t="str">
        <x:v>0</x:v>
      </x:c>
      <x:c r="W172" s="23" t="str">
        <x:v>0</x:v>
      </x:c>
      <x:c r="X172" s="23" t="str">
        <x:v>0</x:v>
      </x:c>
      <x:c r="Y172" s="21" t="str">
        <x:v>eligible_with_study_context</x:v>
      </x:c>
      <x:c r="Z172" s="21" t="str">
        <x:v>complete</x:v>
      </x:c>
      <x:c r="AA172" s="21" t="str">
        <x:v>Source SCR-01008 supplies 15 evidence, 20 metric, and 0 governed tradeoff rows; use gate: eligible_with_study_context.</x:v>
      </x:c>
    </x:row>
    <x:row r="173" ht="42" customHeight="1">
      <x:c r="A173" s="21" t="str">
        <x:v>STC-SINGLETON-SCR-01009</x:v>
      </x:c>
      <x:c r="B173" s="21" t="str">
        <x:v>OISAC_SCR01009</x:v>
      </x:c>
      <x:c r="C173" s="21" t="str">
        <x:v>RPT-SCR-01009-01</x:v>
      </x:c>
      <x:c r="D173" s="21" t="str">
        <x:v>SCR-01009</x:v>
      </x:c>
      <x:c r="E173" s="21" t="str">
        <x:v>OISAC_SCR01009</x:v>
      </x:c>
      <x:c r="F173" s="21" t="str">
        <x:v>\cite{OISAC_SCR01009}</x:v>
      </x:c>
      <x:c r="G173" s="21" t="str">
        <x:v>primary_source</x:v>
      </x:c>
      <x:c r="H173" s="21" t="str">
        <x:v>none</x:v>
      </x:c>
      <x:c r="I173" s="21" t="str">
        <x:v>standalone_primary_report</x:v>
      </x:c>
      <x:c r="J173" s="21" t="str">
        <x:v>Demonstration of Photonic Sub-THz ISAC System with Real-Time 251.03-Gbps Communication Rate and Offline 2.5-cm Sensing Resolution</x:v>
      </x:c>
      <x:c r="K173" s="21" t="str">
        <x:v>M. Lei; Z. Lyu; Q. Zhou; J. Zhang; H. Li; B. Hua; J. Zhang; Y. Cai; J. Ding; X. Chen; L. Zhang; J. Yu; M. Zhu</x:v>
      </x:c>
      <x:c r="L173" s="23" t="str">
        <x:v>2024</x:v>
      </x:c>
      <x:c r="M173" s="21" t="str">
        <x:v>2024 22nd International Conference on Optical Communications and Networks (ICOCN)</x:v>
      </x:c>
      <x:c r="N173" s="21" t="str">
        <x:v>10.1109/icocn63276.2024.10648485</x:v>
      </x:c>
      <x:c r="O173" s="21" t="str">
        <x:v>https://doi.org/10.1109/icocn63276.2024.10648485</x:v>
      </x:c>
      <x:c r="P173" s="21" t="str">
        <x:v>IEEE Conferences</x:v>
      </x:c>
      <x:c r="Q173" s="23" t="str">
        <x:v>12</x:v>
      </x:c>
      <x:c r="R173" s="23" t="str">
        <x:v>19</x:v>
      </x:c>
      <x:c r="S173" s="23" t="str">
        <x:v>1</x:v>
      </x:c>
      <x:c r="T173" s="23" t="str">
        <x:v>0</x:v>
      </x:c>
      <x:c r="U173" s="23" t="str">
        <x:v>0</x:v>
      </x:c>
      <x:c r="V173" s="23" t="str">
        <x:v>0</x:v>
      </x:c>
      <x:c r="W173" s="23" t="str">
        <x:v>0</x:v>
      </x:c>
      <x:c r="X173" s="23" t="str">
        <x:v>0</x:v>
      </x:c>
      <x:c r="Y173" s="21" t="str">
        <x:v>eligible_with_study_context</x:v>
      </x:c>
      <x:c r="Z173" s="21" t="str">
        <x:v>complete</x:v>
      </x:c>
      <x:c r="AA173" s="21" t="str">
        <x:v>Source SCR-01009 supplies 12 evidence, 19 metric, and 1 governed tradeoff rows; use gate: eligible_with_study_context.</x:v>
      </x:c>
    </x:row>
    <x:row r="174" ht="42" customHeight="1">
      <x:c r="A174" s="21" t="str">
        <x:v>STC-SINGLETON-SCR-01010</x:v>
      </x:c>
      <x:c r="B174" s="21" t="str">
        <x:v>OISAC_SCR01010</x:v>
      </x:c>
      <x:c r="C174" s="21" t="str">
        <x:v>RPT-SCR-01010-01</x:v>
      </x:c>
      <x:c r="D174" s="21" t="str">
        <x:v>SCR-01010</x:v>
      </x:c>
      <x:c r="E174" s="21" t="str">
        <x:v>OISAC_SCR01010</x:v>
      </x:c>
      <x:c r="F174" s="21" t="str">
        <x:v>\cite{OISAC_SCR01010}</x:v>
      </x:c>
      <x:c r="G174" s="21" t="str">
        <x:v>primary_source</x:v>
      </x:c>
      <x:c r="H174" s="21" t="str">
        <x:v>none</x:v>
      </x:c>
      <x:c r="I174" s="21" t="str">
        <x:v>standalone_primary_report</x:v>
      </x:c>
      <x:c r="J174" s="21" t="str">
        <x:v>Photonic Chirp Spread Spectrum THz-ISAC: Constraints and Design Considerations</x:v>
      </x:c>
      <x:c r="K174" s="21" t="str">
        <x:v>Z. Lyu; L. Zhang; Q. Deng; X. Fang; L. Bai; O. Ozolins; H. Zhang; G. Liu; X. Pang; X. Yu</x:v>
      </x:c>
      <x:c r="L174" s="23" t="str">
        <x:v>2026</x:v>
      </x:c>
      <x:c r="M174" s="21" t="str">
        <x:v>IEEE Transactions on Microwave Theory and Techniques</x:v>
      </x:c>
      <x:c r="N174" s="21" t="str">
        <x:v>10.1109/tmtt.2025.3615239</x:v>
      </x:c>
      <x:c r="O174" s="21" t="str">
        <x:v>https://doi.org/10.1109/tmtt.2025.3615239</x:v>
      </x:c>
      <x:c r="P174" s="21" t="str">
        <x:v>IEEE Journals</x:v>
      </x:c>
      <x:c r="Q174" s="23" t="str">
        <x:v>15</x:v>
      </x:c>
      <x:c r="R174" s="23" t="str">
        <x:v>21</x:v>
      </x:c>
      <x:c r="S174" s="23" t="str">
        <x:v>2</x:v>
      </x:c>
      <x:c r="T174" s="23" t="str">
        <x:v>0</x:v>
      </x:c>
      <x:c r="U174" s="23" t="str">
        <x:v>0</x:v>
      </x:c>
      <x:c r="V174" s="23" t="str">
        <x:v>0</x:v>
      </x:c>
      <x:c r="W174" s="23" t="str">
        <x:v>0</x:v>
      </x:c>
      <x:c r="X174" s="23" t="str">
        <x:v>0</x:v>
      </x:c>
      <x:c r="Y174" s="21" t="str">
        <x:v>eligible_with_study_context</x:v>
      </x:c>
      <x:c r="Z174" s="21" t="str">
        <x:v>complete</x:v>
      </x:c>
      <x:c r="AA174" s="21" t="str">
        <x:v>Source SCR-01010 supplies 15 evidence, 21 metric, and 2 governed tradeoff rows; use gate: eligible_with_study_context.</x:v>
      </x:c>
    </x:row>
    <x:row r="175" ht="42" customHeight="1">
      <x:c r="A175" s="21" t="str">
        <x:v>STC-SINGLETON-SCR-01011</x:v>
      </x:c>
      <x:c r="B175" s="21" t="str">
        <x:v>OISAC_SCR01011</x:v>
      </x:c>
      <x:c r="C175" s="21" t="str">
        <x:v>RPT-SCR-01011-01</x:v>
      </x:c>
      <x:c r="D175" s="21" t="str">
        <x:v>SCR-01011</x:v>
      </x:c>
      <x:c r="E175" s="21" t="str">
        <x:v>OISAC_SCR01011</x:v>
      </x:c>
      <x:c r="F175" s="21" t="str">
        <x:v>\cite{OISAC_SCR01011}</x:v>
      </x:c>
      <x:c r="G175" s="21" t="str">
        <x:v>primary_source</x:v>
      </x:c>
      <x:c r="H175" s="21" t="str">
        <x:v>none</x:v>
      </x:c>
      <x:c r="I175" s="21" t="str">
        <x:v>standalone_primary_report</x:v>
      </x:c>
      <x:c r="J175" s="21" t="str">
        <x:v>A THz with VLC Assisted ISAC System Under the Impact of Human Blockages</x:v>
      </x:c>
      <x:c r="K175" s="21" t="str">
        <x:v>H. Prabhakar; N. R. R; V. A. Bohara</x:v>
      </x:c>
      <x:c r="L175" s="23" t="str">
        <x:v>2026</x:v>
      </x:c>
      <x:c r="M175" s="21" t="str">
        <x:v>2026 IEEE Wireless Communications and Networking Conference (WCNC)</x:v>
      </x:c>
      <x:c r="N175" s="21" t="str">
        <x:v>10.1109/wcnc65185.2026.11555578</x:v>
      </x:c>
      <x:c r="O175" s="21" t="str">
        <x:v>https://doi.org/10.1109/wcnc65185.2026.11555578</x:v>
      </x:c>
      <x:c r="P175" s="21" t="str">
        <x:v>IEEE Conferences</x:v>
      </x:c>
      <x:c r="Q175" s="23" t="str">
        <x:v>12</x:v>
      </x:c>
      <x:c r="R175" s="23" t="str">
        <x:v>18</x:v>
      </x:c>
      <x:c r="S175" s="23" t="str">
        <x:v>1</x:v>
      </x:c>
      <x:c r="T175" s="23" t="str">
        <x:v>0</x:v>
      </x:c>
      <x:c r="U175" s="23" t="str">
        <x:v>0</x:v>
      </x:c>
      <x:c r="V175" s="23" t="str">
        <x:v>0</x:v>
      </x:c>
      <x:c r="W175" s="23" t="str">
        <x:v>0</x:v>
      </x:c>
      <x:c r="X175" s="23" t="str">
        <x:v>0</x:v>
      </x:c>
      <x:c r="Y175" s="21" t="str">
        <x:v>eligible_with_study_context</x:v>
      </x:c>
      <x:c r="Z175" s="21" t="str">
        <x:v>complete</x:v>
      </x:c>
      <x:c r="AA175" s="21" t="str">
        <x:v>Source SCR-01011 supplies 12 evidence, 18 metric, and 1 governed tradeoff rows; use gate: eligible_with_study_context.</x:v>
      </x:c>
    </x:row>
    <x:row r="176" ht="42" customHeight="1">
      <x:c r="A176" s="21" t="str">
        <x:v>STC-SINGLETON-SCR-01012</x:v>
      </x:c>
      <x:c r="B176" s="21" t="str">
        <x:v>OISAC_SCR01012</x:v>
      </x:c>
      <x:c r="C176" s="21" t="str">
        <x:v>RPT-SCR-01012-01</x:v>
      </x:c>
      <x:c r="D176" s="21" t="str">
        <x:v>SCR-01012</x:v>
      </x:c>
      <x:c r="E176" s="21" t="str">
        <x:v>OISAC_SCR01012</x:v>
      </x:c>
      <x:c r="F176" s="21" t="str">
        <x:v>\cite{OISAC_SCR01012}</x:v>
      </x:c>
      <x:c r="G176" s="21" t="str">
        <x:v>primary_source</x:v>
      </x:c>
      <x:c r="H176" s="21" t="str">
        <x:v>none</x:v>
      </x:c>
      <x:c r="I176" s="21" t="str">
        <x:v>standalone_primary_report</x:v>
      </x:c>
      <x:c r="J176" s="21" t="str">
        <x:v>A Sub-THz ISAC System with Simultaneous Real-Time 125.516-Gbps Communication Rate and Offline 10-mm Sensing Resolution Enabled by Photonics</x:v>
      </x:c>
      <x:c r="K176" s="21" t="str">
        <x:v>Q. Zhou; M. Lei; J. Zhang; H. Li; B. Hua; Y. Cai; J. Zhang; J. Ding; B. Liu; Z. Zhang; J. Zheng; J. Yu; M. Zhu</x:v>
      </x:c>
      <x:c r="L176" s="23" t="str">
        <x:v>2024</x:v>
      </x:c>
      <x:c r="M176" s="21" t="str">
        <x:v>ECOC 2024; 50th European Conference on Optical Communication</x:v>
      </x:c>
      <x:c r="N176" s="21" t="str"/>
      <x:c r="O176" s="21" t="str">
        <x:v>https://ieeexplore.ieee.org/document/10926637</x:v>
      </x:c>
      <x:c r="P176" s="21" t="str">
        <x:v>VDE Conferences</x:v>
      </x:c>
      <x:c r="Q176" s="23" t="str">
        <x:v>11</x:v>
      </x:c>
      <x:c r="R176" s="23" t="str">
        <x:v>18</x:v>
      </x:c>
      <x:c r="S176" s="23" t="str">
        <x:v>3</x:v>
      </x:c>
      <x:c r="T176" s="23" t="str">
        <x:v>0</x:v>
      </x:c>
      <x:c r="U176" s="23" t="str">
        <x:v>0</x:v>
      </x:c>
      <x:c r="V176" s="23" t="str">
        <x:v>0</x:v>
      </x:c>
      <x:c r="W176" s="23" t="str">
        <x:v>0</x:v>
      </x:c>
      <x:c r="X176" s="23" t="str">
        <x:v>0</x:v>
      </x:c>
      <x:c r="Y176" s="21" t="str">
        <x:v>eligible_with_study_context</x:v>
      </x:c>
      <x:c r="Z176" s="21" t="str">
        <x:v>complete</x:v>
      </x:c>
      <x:c r="AA176" s="21" t="str">
        <x:v>Source SCR-01012 supplies 11 evidence, 18 metric, and 3 governed tradeoff rows; use gate: eligible_with_study_context.</x:v>
      </x:c>
    </x:row>
    <x:row r="177" ht="42" customHeight="1">
      <x:c r="A177" s="21" t="str">
        <x:v>STC-SINGLETON-SCR-01018</x:v>
      </x:c>
      <x:c r="B177" s="21" t="str">
        <x:v>OISAC_SCR01018</x:v>
      </x:c>
      <x:c r="C177" s="21" t="str">
        <x:v>RPT-SCR-01018-01</x:v>
      </x:c>
      <x:c r="D177" s="21" t="str">
        <x:v>SCR-01018</x:v>
      </x:c>
      <x:c r="E177" s="21" t="str">
        <x:v>OISAC_SCR01018</x:v>
      </x:c>
      <x:c r="F177" s="21" t="str">
        <x:v>\cite{OISAC_SCR01018}</x:v>
      </x:c>
      <x:c r="G177" s="21" t="str">
        <x:v>primary_source</x:v>
      </x:c>
      <x:c r="H177" s="21" t="str">
        <x:v>none</x:v>
      </x:c>
      <x:c r="I177" s="21" t="str">
        <x:v>standalone_primary_report</x:v>
      </x:c>
      <x:c r="J177" s="21" t="str">
        <x:v>Zero-Padding 2D-DFT Scheme for Photonics-Assisted W-Band Fiber-Wireless ISAC System With Orthogonal Time Frequency Space Modulation</x:v>
      </x:c>
      <x:c r="K177" s="21" t="str">
        <x:v>J. He; L. Yin; K. Liu; S. Xiao; Z. Chen</x:v>
      </x:c>
      <x:c r="L177" s="23" t="str">
        <x:v>2025</x:v>
      </x:c>
      <x:c r="M177" s="21" t="str">
        <x:v>Journal of Lightwave Technology</x:v>
      </x:c>
      <x:c r="N177" s="21" t="str">
        <x:v>10.1109/jlt.2025.3602312</x:v>
      </x:c>
      <x:c r="O177" s="21" t="str">
        <x:v>https://doi.org/10.1109/jlt.2025.3602312</x:v>
      </x:c>
      <x:c r="P177" s="21" t="str">
        <x:v>IEEE Journals</x:v>
      </x:c>
      <x:c r="Q177" s="23" t="str">
        <x:v>12</x:v>
      </x:c>
      <x:c r="R177" s="23" t="str">
        <x:v>23</x:v>
      </x:c>
      <x:c r="S177" s="23" t="str">
        <x:v>2</x:v>
      </x:c>
      <x:c r="T177" s="23" t="str">
        <x:v>0</x:v>
      </x:c>
      <x:c r="U177" s="23" t="str">
        <x:v>0</x:v>
      </x:c>
      <x:c r="V177" s="23" t="str">
        <x:v>0</x:v>
      </x:c>
      <x:c r="W177" s="23" t="str">
        <x:v>0</x:v>
      </x:c>
      <x:c r="X177" s="23" t="str">
        <x:v>0</x:v>
      </x:c>
      <x:c r="Y177" s="21" t="str">
        <x:v>eligible_with_study_context</x:v>
      </x:c>
      <x:c r="Z177" s="21" t="str">
        <x:v>complete</x:v>
      </x:c>
      <x:c r="AA177" s="21" t="str">
        <x:v>Source SCR-01018 supplies 12 evidence, 23 metric, and 2 governed tradeoff rows; use gate: eligible_with_study_context.</x:v>
      </x:c>
    </x:row>
    <x:row r="178" ht="42" customHeight="1">
      <x:c r="A178" s="21" t="str">
        <x:v>STC-SINGLETON-SCR-01020</x:v>
      </x:c>
      <x:c r="B178" s="21" t="str">
        <x:v>OISAC_SCR01020</x:v>
      </x:c>
      <x:c r="C178" s="21" t="str">
        <x:v>RPT-SCR-01020-01</x:v>
      </x:c>
      <x:c r="D178" s="21" t="str">
        <x:v>SCR-01020</x:v>
      </x:c>
      <x:c r="E178" s="21" t="str">
        <x:v>OISAC_SCR01020</x:v>
      </x:c>
      <x:c r="F178" s="21" t="str">
        <x:v>\cite{OISAC_SCR01020}</x:v>
      </x:c>
      <x:c r="G178" s="21" t="str">
        <x:v>primary_source</x:v>
      </x:c>
      <x:c r="H178" s="21" t="str">
        <x:v>none</x:v>
      </x:c>
      <x:c r="I178" s="21" t="str">
        <x:v>standalone_primary_report</x:v>
      </x:c>
      <x:c r="J178" s="21" t="str">
        <x:v>Probabilistic Shaping With Bit-Weighted Distribution Matching for Photonics-Assisted mmWave Dual-Functional OFDM ISAC Systems</x:v>
      </x:c>
      <x:c r="K178" s="21" t="str">
        <x:v>Z. Wang; W. Ji; R. Liu; H. Chang; J. Zhang; M. Lei; M. Zhu; X. Yu; H. Xu; C. Bai; J. Liu</x:v>
      </x:c>
      <x:c r="L178" s="23" t="str">
        <x:v>2026</x:v>
      </x:c>
      <x:c r="M178" s="21" t="str">
        <x:v>Journal of Lightwave Technology</x:v>
      </x:c>
      <x:c r="N178" s="21" t="str">
        <x:v>10.1109/jlt.2026.3690699</x:v>
      </x:c>
      <x:c r="O178" s="21" t="str">
        <x:v>https://doi.org/10.1109/jlt.2026.3690699</x:v>
      </x:c>
      <x:c r="P178" s="21" t="str">
        <x:v>IEEE Journals</x:v>
      </x:c>
      <x:c r="Q178" s="23" t="str">
        <x:v>16</x:v>
      </x:c>
      <x:c r="R178" s="23" t="str">
        <x:v>34</x:v>
      </x:c>
      <x:c r="S178" s="23" t="str">
        <x:v>3</x:v>
      </x:c>
      <x:c r="T178" s="23" t="str">
        <x:v>0</x:v>
      </x:c>
      <x:c r="U178" s="23" t="str">
        <x:v>0</x:v>
      </x:c>
      <x:c r="V178" s="23" t="str">
        <x:v>0</x:v>
      </x:c>
      <x:c r="W178" s="23" t="str">
        <x:v>0</x:v>
      </x:c>
      <x:c r="X178" s="23" t="str">
        <x:v>0</x:v>
      </x:c>
      <x:c r="Y178" s="21" t="str">
        <x:v>eligible_with_study_context</x:v>
      </x:c>
      <x:c r="Z178" s="21" t="str">
        <x:v>complete</x:v>
      </x:c>
      <x:c r="AA178" s="21" t="str">
        <x:v>Source SCR-01020 supplies 16 evidence, 34 metric, and 3 governed tradeoff rows; use gate: eligible_with_study_context.</x:v>
      </x:c>
    </x:row>
    <x:row r="179" ht="42" customHeight="1">
      <x:c r="A179" s="21" t="str">
        <x:v>STC-SINGLETON-SCR-01021</x:v>
      </x:c>
      <x:c r="B179" s="21" t="str">
        <x:v>OISAC_SCR01021</x:v>
      </x:c>
      <x:c r="C179" s="21" t="str">
        <x:v>RPT-SCR-01021-01</x:v>
      </x:c>
      <x:c r="D179" s="21" t="str">
        <x:v>SCR-01021</x:v>
      </x:c>
      <x:c r="E179" s="21" t="str">
        <x:v>OISAC_SCR01021</x:v>
      </x:c>
      <x:c r="F179" s="21" t="str">
        <x:v>\cite{OISAC_SCR01021}</x:v>
      </x:c>
      <x:c r="G179" s="21" t="str">
        <x:v>primary_source</x:v>
      </x:c>
      <x:c r="H179" s="21" t="str">
        <x:v>none</x:v>
      </x:c>
      <x:c r="I179" s="21" t="str">
        <x:v>standalone_primary_report</x:v>
      </x:c>
      <x:c r="J179" s="21" t="str">
        <x:v>Microalgae Density Measurement Using Quantum-Dot-Integrated Sensing and Communication System</x:v>
      </x:c>
      <x:c r="K179" s="21" t="str">
        <x:v>H. Xiao; W. Wang; K. Zhang; F. Li; C. Sun</x:v>
      </x:c>
      <x:c r="L179" s="23" t="str">
        <x:v>2025</x:v>
      </x:c>
      <x:c r="M179" s="21" t="str">
        <x:v>IEEE Transactions on Instrumentation and Measurement</x:v>
      </x:c>
      <x:c r="N179" s="21" t="str">
        <x:v>10.1109/tim.2025.3595231</x:v>
      </x:c>
      <x:c r="O179" s="21" t="str">
        <x:v>https://doi.org/10.1109/tim.2025.3595231</x:v>
      </x:c>
      <x:c r="P179" s="21" t="str">
        <x:v>IEEE Journals</x:v>
      </x:c>
      <x:c r="Q179" s="23" t="str">
        <x:v>20</x:v>
      </x:c>
      <x:c r="R179" s="23" t="str">
        <x:v>51</x:v>
      </x:c>
      <x:c r="S179" s="23" t="str">
        <x:v>4</x:v>
      </x:c>
      <x:c r="T179" s="23" t="str">
        <x:v>0</x:v>
      </x:c>
      <x:c r="U179" s="23" t="str">
        <x:v>0</x:v>
      </x:c>
      <x:c r="V179" s="23" t="str">
        <x:v>0</x:v>
      </x:c>
      <x:c r="W179" s="23" t="str">
        <x:v>0</x:v>
      </x:c>
      <x:c r="X179" s="23" t="str">
        <x:v>0</x:v>
      </x:c>
      <x:c r="Y179" s="21" t="str">
        <x:v>eligible_with_study_context</x:v>
      </x:c>
      <x:c r="Z179" s="21" t="str">
        <x:v>complete</x:v>
      </x:c>
      <x:c r="AA179" s="21" t="str">
        <x:v>Source SCR-01021 supplies 20 evidence, 51 metric, and 4 governed tradeoff rows; use gate: eligible_with_study_context.</x:v>
      </x:c>
    </x:row>
    <x:row r="180" ht="42" customHeight="1">
      <x:c r="A180" s="21" t="str">
        <x:v>STC-SINGLETON-SCR-01023</x:v>
      </x:c>
      <x:c r="B180" s="21" t="str">
        <x:v>OISAC_SCR01023</x:v>
      </x:c>
      <x:c r="C180" s="21" t="str">
        <x:v>RPT-SCR-01023-01</x:v>
      </x:c>
      <x:c r="D180" s="21" t="str">
        <x:v>SCR-01023</x:v>
      </x:c>
      <x:c r="E180" s="21" t="str">
        <x:v>OISAC_SCR01023</x:v>
      </x:c>
      <x:c r="F180" s="21" t="str">
        <x:v>\cite{OISAC_SCR01023}</x:v>
      </x:c>
      <x:c r="G180" s="21" t="str">
        <x:v>primary_source</x:v>
      </x:c>
      <x:c r="H180" s="21" t="str">
        <x:v>none</x:v>
      </x:c>
      <x:c r="I180" s="21" t="str">
        <x:v>standalone_primary_report</x:v>
      </x:c>
      <x:c r="J180" s="21" t="str">
        <x:v>Passive Sensing Technique Using Cyclic Prefix in Power-Constrained Optical Wireless Communication Systems</x:v>
      </x:c>
      <x:c r="K180" s="21" t="str">
        <x:v>B. Li; J. Wang; D. Lian; Y. Gao; J. Lian; C. Tang; B. Lian</x:v>
      </x:c>
      <x:c r="L180" s="23" t="str">
        <x:v>2025</x:v>
      </x:c>
      <x:c r="M180" s="21" t="str">
        <x:v>IEEE Transactions on Vehicular Technology</x:v>
      </x:c>
      <x:c r="N180" s="21" t="str">
        <x:v>10.1109/tvt.2025.3640107</x:v>
      </x:c>
      <x:c r="O180" s="21" t="str">
        <x:v>https://doi.org/10.1109/tvt.2025.3640107</x:v>
      </x:c>
      <x:c r="P180" s="21" t="str">
        <x:v>IEEE Early Access Articles</x:v>
      </x:c>
      <x:c r="Q180" s="23" t="str">
        <x:v>20</x:v>
      </x:c>
      <x:c r="R180" s="23" t="str">
        <x:v>27</x:v>
      </x:c>
      <x:c r="S180" s="23" t="str">
        <x:v>5</x:v>
      </x:c>
      <x:c r="T180" s="23" t="str">
        <x:v>0</x:v>
      </x:c>
      <x:c r="U180" s="23" t="str">
        <x:v>0</x:v>
      </x:c>
      <x:c r="V180" s="23" t="str">
        <x:v>0</x:v>
      </x:c>
      <x:c r="W180" s="23" t="str">
        <x:v>0</x:v>
      </x:c>
      <x:c r="X180" s="23" t="str">
        <x:v>0</x:v>
      </x:c>
      <x:c r="Y180" s="21" t="str">
        <x:v>eligible_with_study_context</x:v>
      </x:c>
      <x:c r="Z180" s="21" t="str">
        <x:v>complete</x:v>
      </x:c>
      <x:c r="AA180" s="21" t="str">
        <x:v>Source SCR-01023 supplies 20 evidence, 27 metric, and 5 governed tradeoff rows; use gate: eligible_with_study_context.</x:v>
      </x:c>
    </x:row>
    <x:row r="181" ht="42" customHeight="1">
      <x:c r="A181" s="21" t="str">
        <x:v>STC-SINGLETON-SCR-01024</x:v>
      </x:c>
      <x:c r="B181" s="21" t="str">
        <x:v>OISAC_SCR01024</x:v>
      </x:c>
      <x:c r="C181" s="21" t="str">
        <x:v>RPT-SCR-01024-01</x:v>
      </x:c>
      <x:c r="D181" s="21" t="str">
        <x:v>SCR-01024</x:v>
      </x:c>
      <x:c r="E181" s="21" t="str">
        <x:v>OISAC_SCR01024</x:v>
      </x:c>
      <x:c r="F181" s="21" t="str">
        <x:v>\cite{OISAC_SCR01024}</x:v>
      </x:c>
      <x:c r="G181" s="21" t="str">
        <x:v>primary_source</x:v>
      </x:c>
      <x:c r="H181" s="21" t="str">
        <x:v>none</x:v>
      </x:c>
      <x:c r="I181" s="21" t="str">
        <x:v>standalone_primary_report</x:v>
      </x:c>
      <x:c r="J181" s="21" t="str">
        <x:v>Single-Source Integrated Optical Wireless Positioning and Communication</x:v>
      </x:c>
      <x:c r="K181" s="21" t="str">
        <x:v>H. A. Satai; B. Bechadergue; L. Chassagne; K. Acuna-Condori; B. Cagneau; P. Ruaux</x:v>
      </x:c>
      <x:c r="L181" s="23" t="str">
        <x:v>2026</x:v>
      </x:c>
      <x:c r="M181" s="21" t="str">
        <x:v>2026 IEEE 6th International Symposium on Joint Communications &amp; Sensing (JC&amp;S)</x:v>
      </x:c>
      <x:c r="N181" s="21" t="str">
        <x:v>10.1109/jcs69321.2026.11366026</x:v>
      </x:c>
      <x:c r="O181" s="21" t="str">
        <x:v>https://doi.org/10.1109/jcs69321.2026.11366026</x:v>
      </x:c>
      <x:c r="P181" s="21" t="str">
        <x:v>IEEE Conferences</x:v>
      </x:c>
      <x:c r="Q181" s="23" t="str">
        <x:v>21</x:v>
      </x:c>
      <x:c r="R181" s="23" t="str">
        <x:v>38</x:v>
      </x:c>
      <x:c r="S181" s="23" t="str">
        <x:v>5</x:v>
      </x:c>
      <x:c r="T181" s="23" t="str">
        <x:v>0</x:v>
      </x:c>
      <x:c r="U181" s="23" t="str">
        <x:v>0</x:v>
      </x:c>
      <x:c r="V181" s="23" t="str">
        <x:v>0</x:v>
      </x:c>
      <x:c r="W181" s="23" t="str">
        <x:v>0</x:v>
      </x:c>
      <x:c r="X181" s="23" t="str">
        <x:v>0</x:v>
      </x:c>
      <x:c r="Y181" s="21" t="str">
        <x:v>eligible_with_study_context</x:v>
      </x:c>
      <x:c r="Z181" s="21" t="str">
        <x:v>complete</x:v>
      </x:c>
      <x:c r="AA181" s="21" t="str">
        <x:v>Source SCR-01024 supplies 21 evidence, 38 metric, and 5 governed tradeoff rows; use gate: eligible_with_study_context.</x:v>
      </x:c>
    </x:row>
    <x:row r="182" ht="42" customHeight="1">
      <x:c r="A182" s="21" t="str">
        <x:v>STC-SINGLETON-SCR-01025</x:v>
      </x:c>
      <x:c r="B182" s="21" t="str">
        <x:v>OISAC_SCR01025</x:v>
      </x:c>
      <x:c r="C182" s="21" t="str">
        <x:v>RPT-SCR-01025-01</x:v>
      </x:c>
      <x:c r="D182" s="21" t="str">
        <x:v>SCR-01025</x:v>
      </x:c>
      <x:c r="E182" s="21" t="str">
        <x:v>OISAC_SCR01025</x:v>
      </x:c>
      <x:c r="F182" s="21" t="str">
        <x:v>\cite{OISAC_SCR01025}</x:v>
      </x:c>
      <x:c r="G182" s="21" t="str">
        <x:v>primary_source</x:v>
      </x:c>
      <x:c r="H182" s="21" t="str">
        <x:v>none</x:v>
      </x:c>
      <x:c r="I182" s="21" t="str">
        <x:v>standalone_primary_report</x:v>
      </x:c>
      <x:c r="J182" s="21" t="str">
        <x:v>Revolutionizing 6G: Experimental Validation of an Optical Integrated Communication, Sensing, and Power Transfer System</x:v>
      </x:c>
      <x:c r="K182" s="21" t="str">
        <x:v>T. Chu; J. Ye; C. Chen; X. Guo; Z. Zeng; S. Guo; H. Haas; M. -S. Alouini</x:v>
      </x:c>
      <x:c r="L182" s="23" t="str">
        <x:v>2026</x:v>
      </x:c>
      <x:c r="M182" s="21" t="str">
        <x:v>IEEE Journal on Selected Areas in Communications</x:v>
      </x:c>
      <x:c r="N182" s="21" t="str">
        <x:v>10.1109/jsac.2025.3608091</x:v>
      </x:c>
      <x:c r="O182" s="21" t="str">
        <x:v>https://doi.org/10.1109/jsac.2025.3608091</x:v>
      </x:c>
      <x:c r="P182" s="21" t="str">
        <x:v>IEEE Journals</x:v>
      </x:c>
      <x:c r="Q182" s="23" t="str">
        <x:v>21</x:v>
      </x:c>
      <x:c r="R182" s="23" t="str">
        <x:v>43</x:v>
      </x:c>
      <x:c r="S182" s="23" t="str">
        <x:v>6</x:v>
      </x:c>
      <x:c r="T182" s="23" t="str">
        <x:v>0</x:v>
      </x:c>
      <x:c r="U182" s="23" t="str">
        <x:v>0</x:v>
      </x:c>
      <x:c r="V182" s="23" t="str">
        <x:v>0</x:v>
      </x:c>
      <x:c r="W182" s="23" t="str">
        <x:v>0</x:v>
      </x:c>
      <x:c r="X182" s="23" t="str">
        <x:v>0</x:v>
      </x:c>
      <x:c r="Y182" s="21" t="str">
        <x:v>eligible_with_study_context</x:v>
      </x:c>
      <x:c r="Z182" s="21" t="str">
        <x:v>complete</x:v>
      </x:c>
      <x:c r="AA182" s="21" t="str">
        <x:v>Source SCR-01025 supplies 21 evidence, 43 metric, and 6 governed tradeoff rows; use gate: eligible_with_study_context.</x:v>
      </x:c>
    </x:row>
    <x:row r="183" ht="42" customHeight="1">
      <x:c r="A183" s="21" t="str">
        <x:v>STC-SINGLETON-SCR-01028</x:v>
      </x:c>
      <x:c r="B183" s="21" t="str">
        <x:v>OISAC_SCR01028</x:v>
      </x:c>
      <x:c r="C183" s="21" t="str">
        <x:v>RPT-SCR-01028-01</x:v>
      </x:c>
      <x:c r="D183" s="21" t="str">
        <x:v>SCR-01028</x:v>
      </x:c>
      <x:c r="E183" s="21" t="str">
        <x:v>OISAC_SCR01028</x:v>
      </x:c>
      <x:c r="F183" s="21" t="str">
        <x:v>\cite{OISAC_SCR01028}</x:v>
      </x:c>
      <x:c r="G183" s="21" t="str">
        <x:v>primary_source</x:v>
      </x:c>
      <x:c r="H183" s="21" t="str">
        <x:v>none</x:v>
      </x:c>
      <x:c r="I183" s="21" t="str">
        <x:v>standalone_primary_report</x:v>
      </x:c>
      <x:c r="J183" s="21" t="str">
        <x:v>Adaptive Lighting Control in Visible Light Systems: An Integrated Sensing, Communication, and Illumination Framework</x:v>
      </x:c>
      <x:c r="K183" s="21" t="str">
        <x:v>X. Xie; X. Wang; X. Lai; Y. Wen; F. Yang; H. He; L. Zhang; D. Zhao</x:v>
      </x:c>
      <x:c r="L183" s="23" t="str">
        <x:v>2025</x:v>
      </x:c>
      <x:c r="M183" s="21" t="str">
        <x:v>2025 11th International Conference on Computer and Communications (ICCC)</x:v>
      </x:c>
      <x:c r="N183" s="21" t="str">
        <x:v>10.1109/iccc68654.2025.11437932</x:v>
      </x:c>
      <x:c r="O183" s="21" t="str">
        <x:v>https://doi.org/10.1109/iccc68654.2025.11437932</x:v>
      </x:c>
      <x:c r="P183" s="21" t="str">
        <x:v>IEEE Conferences</x:v>
      </x:c>
      <x:c r="Q183" s="23" t="str">
        <x:v>14</x:v>
      </x:c>
      <x:c r="R183" s="23" t="str">
        <x:v>18</x:v>
      </x:c>
      <x:c r="S183" s="23" t="str">
        <x:v>1</x:v>
      </x:c>
      <x:c r="T183" s="23" t="str">
        <x:v>0</x:v>
      </x:c>
      <x:c r="U183" s="23" t="str">
        <x:v>0</x:v>
      </x:c>
      <x:c r="V183" s="23" t="str">
        <x:v>0</x:v>
      </x:c>
      <x:c r="W183" s="23" t="str">
        <x:v>0</x:v>
      </x:c>
      <x:c r="X183" s="23" t="str">
        <x:v>0</x:v>
      </x:c>
      <x:c r="Y183" s="21" t="str">
        <x:v>eligible_with_study_context</x:v>
      </x:c>
      <x:c r="Z183" s="21" t="str">
        <x:v>complete</x:v>
      </x:c>
      <x:c r="AA183" s="21" t="str">
        <x:v>Source SCR-01028 supplies 14 evidence, 18 metric, and 1 governed tradeoff rows; use gate: eligible_with_study_context.</x:v>
      </x:c>
    </x:row>
    <x:row r="184" ht="42" customHeight="1">
      <x:c r="A184" s="21" t="str">
        <x:v>STC-SINGLETON-SCR-01029</x:v>
      </x:c>
      <x:c r="B184" s="21" t="str">
        <x:v>OISAC_SCR01029</x:v>
      </x:c>
      <x:c r="C184" s="21" t="str">
        <x:v>RPT-SCR-01029-01</x:v>
      </x:c>
      <x:c r="D184" s="21" t="str">
        <x:v>SCR-01029</x:v>
      </x:c>
      <x:c r="E184" s="21" t="str">
        <x:v>OISAC_SCR01029</x:v>
      </x:c>
      <x:c r="F184" s="21" t="str">
        <x:v>\cite{OISAC_SCR01029}</x:v>
      </x:c>
      <x:c r="G184" s="21" t="str">
        <x:v>primary_source</x:v>
      </x:c>
      <x:c r="H184" s="21" t="str">
        <x:v>none</x:v>
      </x:c>
      <x:c r="I184" s="21" t="str">
        <x:v>standalone_primary_report</x:v>
      </x:c>
      <x:c r="J184" s="21" t="str">
        <x:v>Experimental Demonstration of Integrated Optical Wireless Sensing and Communication</x:v>
      </x:c>
      <x:c r="K184" s="21" t="str">
        <x:v>L. Shi; Z. Liu; B. Béchadergue; H. Guan; L. Chassagne; X. Zhang</x:v>
      </x:c>
      <x:c r="L184" s="23" t="str">
        <x:v>2024</x:v>
      </x:c>
      <x:c r="M184" s="21" t="str">
        <x:v>Journal of Lightwave Technology</x:v>
      </x:c>
      <x:c r="N184" s="21" t="str">
        <x:v>10.1109/jlt.2024.3415417</x:v>
      </x:c>
      <x:c r="O184" s="21" t="str">
        <x:v>https://doi.org/10.1109/jlt.2024.3415417</x:v>
      </x:c>
      <x:c r="P184" s="21" t="str">
        <x:v>IEEE Journals</x:v>
      </x:c>
      <x:c r="Q184" s="23" t="str">
        <x:v>15</x:v>
      </x:c>
      <x:c r="R184" s="23" t="str">
        <x:v>21</x:v>
      </x:c>
      <x:c r="S184" s="23" t="str">
        <x:v>0</x:v>
      </x:c>
      <x:c r="T184" s="23" t="str">
        <x:v>0</x:v>
      </x:c>
      <x:c r="U184" s="23" t="str">
        <x:v>0</x:v>
      </x:c>
      <x:c r="V184" s="23" t="str">
        <x:v>0</x:v>
      </x:c>
      <x:c r="W184" s="23" t="str">
        <x:v>0</x:v>
      </x:c>
      <x:c r="X184" s="23" t="str">
        <x:v>0</x:v>
      </x:c>
      <x:c r="Y184" s="21" t="str">
        <x:v>eligible_with_study_context</x:v>
      </x:c>
      <x:c r="Z184" s="21" t="str">
        <x:v>complete</x:v>
      </x:c>
      <x:c r="AA184" s="21" t="str">
        <x:v>Source SCR-01029 supplies 15 evidence, 21 metric, and 0 governed tradeoff rows; use gate: eligible_with_study_context.</x:v>
      </x:c>
    </x:row>
    <x:row r="185" ht="42" customHeight="1">
      <x:c r="A185" s="21" t="str">
        <x:v>STC-SINGLETON-SCR-01030</x:v>
      </x:c>
      <x:c r="B185" s="21" t="str">
        <x:v>OISAC_SCR01030</x:v>
      </x:c>
      <x:c r="C185" s="21" t="str">
        <x:v>RPT-SCR-01030-01</x:v>
      </x:c>
      <x:c r="D185" s="21" t="str">
        <x:v>SCR-01030</x:v>
      </x:c>
      <x:c r="E185" s="21" t="str">
        <x:v>OISAC_SCR01030</x:v>
      </x:c>
      <x:c r="F185" s="21" t="str">
        <x:v>\cite{OISAC_SCR01030}</x:v>
      </x:c>
      <x:c r="G185" s="21" t="str">
        <x:v>primary_source</x:v>
      </x:c>
      <x:c r="H185" s="21" t="str">
        <x:v>none</x:v>
      </x:c>
      <x:c r="I185" s="21" t="str">
        <x:v>standalone_primary_report</x:v>
      </x:c>
      <x:c r="J185" s="21" t="str">
        <x:v>Joint Optimization of Slot Selection and Power Allocation in Integrated Visible Light Communication and Sensing Systems</x:v>
      </x:c>
      <x:c r="K185" s="21" t="str">
        <x:v>J. -Y. Wang; H. -N. Yang; J. -B. Wang; M. Lin; P. Shi</x:v>
      </x:c>
      <x:c r="L185" s="23" t="str">
        <x:v>2023</x:v>
      </x:c>
      <x:c r="M185" s="21" t="str">
        <x:v>IEEE Internet of Things Journal</x:v>
      </x:c>
      <x:c r="N185" s="21" t="str">
        <x:v>10.1109/jiot.2023.3303137</x:v>
      </x:c>
      <x:c r="O185" s="21" t="str">
        <x:v>https://doi.org/10.1109/jiot.2023.3303137</x:v>
      </x:c>
      <x:c r="P185" s="21" t="str">
        <x:v>IEEE Journals</x:v>
      </x:c>
      <x:c r="Q185" s="23" t="str">
        <x:v>16</x:v>
      </x:c>
      <x:c r="R185" s="23" t="str">
        <x:v>15</x:v>
      </x:c>
      <x:c r="S185" s="23" t="str">
        <x:v>2</x:v>
      </x:c>
      <x:c r="T185" s="23" t="str">
        <x:v>0</x:v>
      </x:c>
      <x:c r="U185" s="23" t="str">
        <x:v>0</x:v>
      </x:c>
      <x:c r="V185" s="23" t="str">
        <x:v>0</x:v>
      </x:c>
      <x:c r="W185" s="23" t="str">
        <x:v>0</x:v>
      </x:c>
      <x:c r="X185" s="23" t="str">
        <x:v>0</x:v>
      </x:c>
      <x:c r="Y185" s="21" t="str">
        <x:v>eligible_with_study_context</x:v>
      </x:c>
      <x:c r="Z185" s="21" t="str">
        <x:v>complete</x:v>
      </x:c>
      <x:c r="AA185" s="21" t="str">
        <x:v>Source SCR-01030 supplies 16 evidence, 15 metric, and 2 governed tradeoff rows; use gate: eligible_with_study_context.</x:v>
      </x:c>
    </x:row>
    <x:row r="186" ht="42" customHeight="1">
      <x:c r="A186" s="21" t="str">
        <x:v>STC-SINGLETON-SCR-01032</x:v>
      </x:c>
      <x:c r="B186" s="21" t="str">
        <x:v>OISAC_SCR01032</x:v>
      </x:c>
      <x:c r="C186" s="21" t="str">
        <x:v>RPT-SCR-01032-01</x:v>
      </x:c>
      <x:c r="D186" s="21" t="str">
        <x:v>SCR-01032</x:v>
      </x:c>
      <x:c r="E186" s="21" t="str">
        <x:v>OISAC_SCR01032</x:v>
      </x:c>
      <x:c r="F186" s="21" t="str">
        <x:v>\cite{OISAC_SCR01032}</x:v>
      </x:c>
      <x:c r="G186" s="21" t="str">
        <x:v>primary_source</x:v>
      </x:c>
      <x:c r="H186" s="21" t="str">
        <x:v>none</x:v>
      </x:c>
      <x:c r="I186" s="21" t="str">
        <x:v>standalone_primary_report</x:v>
      </x:c>
      <x:c r="J186" s="21" t="str">
        <x:v>Flexible Hybrid Waveform Design for Optical Integrated Communication, Sensing, and Power Transfer Systems</x:v>
      </x:c>
      <x:c r="K186" s="21" t="str">
        <x:v>T. Chu; D. Wang; J. Ye; C. Chen; T. ElBatt; Z. Zeng; H. Haas</x:v>
      </x:c>
      <x:c r="L186" s="23" t="str">
        <x:v>2026</x:v>
      </x:c>
      <x:c r="M186" s="21" t="str">
        <x:v>Journal of Lightwave Technology</x:v>
      </x:c>
      <x:c r="N186" s="21" t="str">
        <x:v>10.1109/jlt.2026.3665924</x:v>
      </x:c>
      <x:c r="O186" s="21" t="str">
        <x:v>https://doi.org/10.1109/jlt.2026.3665924</x:v>
      </x:c>
      <x:c r="P186" s="21" t="str">
        <x:v>IEEE Journals</x:v>
      </x:c>
      <x:c r="Q186" s="23" t="str">
        <x:v>15</x:v>
      </x:c>
      <x:c r="R186" s="23" t="str">
        <x:v>17</x:v>
      </x:c>
      <x:c r="S186" s="23" t="str">
        <x:v>3</x:v>
      </x:c>
      <x:c r="T186" s="23" t="str">
        <x:v>0</x:v>
      </x:c>
      <x:c r="U186" s="23" t="str">
        <x:v>0</x:v>
      </x:c>
      <x:c r="V186" s="23" t="str">
        <x:v>0</x:v>
      </x:c>
      <x:c r="W186" s="23" t="str">
        <x:v>0</x:v>
      </x:c>
      <x:c r="X186" s="23" t="str">
        <x:v>0</x:v>
      </x:c>
      <x:c r="Y186" s="21" t="str">
        <x:v>eligible_with_study_context</x:v>
      </x:c>
      <x:c r="Z186" s="21" t="str">
        <x:v>complete</x:v>
      </x:c>
      <x:c r="AA186" s="21" t="str">
        <x:v>Source SCR-01032 supplies 15 evidence, 17 metric, and 3 governed tradeoff rows; use gate: eligible_with_study_context.</x:v>
      </x:c>
    </x:row>
    <x:row r="187" ht="42" customHeight="1">
      <x:c r="A187" s="21" t="str">
        <x:v>STC-SINGLETON-SCR-01033</x:v>
      </x:c>
      <x:c r="B187" s="21" t="str">
        <x:v>OISAC_SCR01033</x:v>
      </x:c>
      <x:c r="C187" s="21" t="str">
        <x:v>RPT-SCR-01033-01</x:v>
      </x:c>
      <x:c r="D187" s="21" t="str">
        <x:v>SCR-01033</x:v>
      </x:c>
      <x:c r="E187" s="21" t="str">
        <x:v>OISAC_SCR01033</x:v>
      </x:c>
      <x:c r="F187" s="21" t="str">
        <x:v>\cite{OISAC_SCR01033}</x:v>
      </x:c>
      <x:c r="G187" s="21" t="str">
        <x:v>primary_source</x:v>
      </x:c>
      <x:c r="H187" s="21" t="str">
        <x:v>none</x:v>
      </x:c>
      <x:c r="I187" s="21" t="str">
        <x:v>standalone_primary_report</x:v>
      </x:c>
      <x:c r="J187" s="21" t="str">
        <x:v>Integrated PC-FMCW Automotive Headlamp for Communication, Sensing, and Illumination</x:v>
      </x:c>
      <x:c r="K187" s="21" t="str">
        <x:v>S. Liu; T. Sun; L. Wang; J. Lin; J. Song; Y. Dong</x:v>
      </x:c>
      <x:c r="L187" s="23" t="str">
        <x:v>2025</x:v>
      </x:c>
      <x:c r="M187" s="21" t="str">
        <x:v>2025 Asia Communications and Photonics Conference (ACP)</x:v>
      </x:c>
      <x:c r="N187" s="21" t="str">
        <x:v>10.1109/acp66871.2025.11350025</x:v>
      </x:c>
      <x:c r="O187" s="21" t="str">
        <x:v>https://doi.org/10.1109/acp66871.2025.11350025</x:v>
      </x:c>
      <x:c r="P187" s="21" t="str">
        <x:v>IEEE Conferences</x:v>
      </x:c>
      <x:c r="Q187" s="23" t="str">
        <x:v>12</x:v>
      </x:c>
      <x:c r="R187" s="23" t="str">
        <x:v>16</x:v>
      </x:c>
      <x:c r="S187" s="23" t="str">
        <x:v>2</x:v>
      </x:c>
      <x:c r="T187" s="23" t="str">
        <x:v>0</x:v>
      </x:c>
      <x:c r="U187" s="23" t="str">
        <x:v>0</x:v>
      </x:c>
      <x:c r="V187" s="23" t="str">
        <x:v>0</x:v>
      </x:c>
      <x:c r="W187" s="23" t="str">
        <x:v>0</x:v>
      </x:c>
      <x:c r="X187" s="23" t="str">
        <x:v>0</x:v>
      </x:c>
      <x:c r="Y187" s="21" t="str">
        <x:v>eligible_with_study_context</x:v>
      </x:c>
      <x:c r="Z187" s="21" t="str">
        <x:v>complete</x:v>
      </x:c>
      <x:c r="AA187" s="21" t="str">
        <x:v>Source SCR-01033 supplies 12 evidence, 16 metric, and 2 governed tradeoff rows; use gate: eligible_with_study_context.</x:v>
      </x:c>
    </x:row>
    <x:row r="188" ht="42" customHeight="1">
      <x:c r="A188" s="21" t="str">
        <x:v>STC-SINGLETON-SCR-01034</x:v>
      </x:c>
      <x:c r="B188" s="21" t="str">
        <x:v>OISAC_SCR01034</x:v>
      </x:c>
      <x:c r="C188" s="21" t="str">
        <x:v>RPT-SCR-01034-01</x:v>
      </x:c>
      <x:c r="D188" s="21" t="str">
        <x:v>SCR-01034</x:v>
      </x:c>
      <x:c r="E188" s="21" t="str">
        <x:v>OISAC_SCR01034</x:v>
      </x:c>
      <x:c r="F188" s="21" t="str">
        <x:v>\cite{OISAC_SCR01034}</x:v>
      </x:c>
      <x:c r="G188" s="21" t="str">
        <x:v>primary_source</x:v>
      </x:c>
      <x:c r="H188" s="21" t="str">
        <x:v>none</x:v>
      </x:c>
      <x:c r="I188" s="21" t="str">
        <x:v>standalone_primary_report</x:v>
      </x:c>
      <x:c r="J188" s="21" t="str">
        <x:v>VehicleTalk: Lightweight V2V Network Enabled by Optical Wireless Communication and Sensing</x:v>
      </x:c>
      <x:c r="K188" s="21" t="str">
        <x:v>Y. Song; R. Mo; P. Zhang; C. Wang; Z. Sheng; Y. Sun; Y. Yang</x:v>
      </x:c>
      <x:c r="L188" s="23" t="str">
        <x:v>2024</x:v>
      </x:c>
      <x:c r="M188" s="21" t="str">
        <x:v>2024 IEEE 99th Vehicular Technology Conference (VTC2024-Spring)</x:v>
      </x:c>
      <x:c r="N188" s="21" t="str">
        <x:v>10.1109/vtc2024-spring62846.2024.10683127</x:v>
      </x:c>
      <x:c r="O188" s="21" t="str">
        <x:v>https://doi.org/10.1109/vtc2024-spring62846.2024.10683127</x:v>
      </x:c>
      <x:c r="P188" s="21" t="str">
        <x:v>IEEE Conferences</x:v>
      </x:c>
      <x:c r="Q188" s="23" t="str">
        <x:v>13</x:v>
      </x:c>
      <x:c r="R188" s="23" t="str">
        <x:v>24</x:v>
      </x:c>
      <x:c r="S188" s="23" t="str">
        <x:v>2</x:v>
      </x:c>
      <x:c r="T188" s="23" t="str">
        <x:v>0</x:v>
      </x:c>
      <x:c r="U188" s="23" t="str">
        <x:v>0</x:v>
      </x:c>
      <x:c r="V188" s="23" t="str">
        <x:v>0</x:v>
      </x:c>
      <x:c r="W188" s="23" t="str">
        <x:v>0</x:v>
      </x:c>
      <x:c r="X188" s="23" t="str">
        <x:v>0</x:v>
      </x:c>
      <x:c r="Y188" s="21" t="str">
        <x:v>eligible_with_study_context</x:v>
      </x:c>
      <x:c r="Z188" s="21" t="str">
        <x:v>complete</x:v>
      </x:c>
      <x:c r="AA188" s="21" t="str">
        <x:v>Source SCR-01034 supplies 13 evidence, 24 metric, and 2 governed tradeoff rows; use gate: eligible_with_study_context.</x:v>
      </x:c>
    </x:row>
    <x:row r="189" ht="42" customHeight="1">
      <x:c r="A189" s="21" t="str">
        <x:v>STC-SINGLETON-SCR-01036</x:v>
      </x:c>
      <x:c r="B189" s="21" t="str">
        <x:v>OISAC_SCR01036</x:v>
      </x:c>
      <x:c r="C189" s="21" t="str">
        <x:v>RPT-SCR-01036-01</x:v>
      </x:c>
      <x:c r="D189" s="21" t="str">
        <x:v>SCR-01036</x:v>
      </x:c>
      <x:c r="E189" s="21" t="str">
        <x:v>OISAC_SCR01036</x:v>
      </x:c>
      <x:c r="F189" s="21" t="str">
        <x:v>\cite{OISAC_SCR01036}</x:v>
      </x:c>
      <x:c r="G189" s="21" t="str">
        <x:v>primary_source</x:v>
      </x:c>
      <x:c r="H189" s="21" t="str">
        <x:v>none</x:v>
      </x:c>
      <x:c r="I189" s="21" t="str">
        <x:v>standalone_primary_report</x:v>
      </x:c>
      <x:c r="J189" s="21" t="str">
        <x:v>ReflexGest: Recognizing Hand Gestures Under VLC-Capable Lamps</x:v>
      </x:c>
      <x:c r="K189" s="21" t="str">
        <x:v>Z. Liu; J. Zhu; J. Yang; Y. Sun; Y. Yang; J. Luo</x:v>
      </x:c>
      <x:c r="L189" s="23" t="str">
        <x:v>2025</x:v>
      </x:c>
      <x:c r="M189" s="21" t="str">
        <x:v>IEEE Transactions on Mobile Computing</x:v>
      </x:c>
      <x:c r="N189" s="21" t="str">
        <x:v>10.1109/tmc.2025.3545340</x:v>
      </x:c>
      <x:c r="O189" s="21" t="str">
        <x:v>https://doi.org/10.1109/tmc.2025.3545340</x:v>
      </x:c>
      <x:c r="P189" s="21" t="str">
        <x:v>IEEE Journals</x:v>
      </x:c>
      <x:c r="Q189" s="23" t="str">
        <x:v>15</x:v>
      </x:c>
      <x:c r="R189" s="23" t="str">
        <x:v>36</x:v>
      </x:c>
      <x:c r="S189" s="23" t="str">
        <x:v>3</x:v>
      </x:c>
      <x:c r="T189" s="23" t="str">
        <x:v>0</x:v>
      </x:c>
      <x:c r="U189" s="23" t="str">
        <x:v>0</x:v>
      </x:c>
      <x:c r="V189" s="23" t="str">
        <x:v>0</x:v>
      </x:c>
      <x:c r="W189" s="23" t="str">
        <x:v>0</x:v>
      </x:c>
      <x:c r="X189" s="23" t="str">
        <x:v>0</x:v>
      </x:c>
      <x:c r="Y189" s="21" t="str">
        <x:v>eligible_with_study_context</x:v>
      </x:c>
      <x:c r="Z189" s="21" t="str">
        <x:v>complete</x:v>
      </x:c>
      <x:c r="AA189" s="21" t="str">
        <x:v>Source SCR-01036 supplies 15 evidence, 36 metric, and 3 governed tradeoff rows; use gate: eligible_with_study_context.</x:v>
      </x:c>
    </x:row>
    <x:row r="190" ht="42" customHeight="1">
      <x:c r="A190" s="21" t="str">
        <x:v>STC-SINGLETON-SCR-01040</x:v>
      </x:c>
      <x:c r="B190" s="21" t="str">
        <x:v>OISAC_SCR01040</x:v>
      </x:c>
      <x:c r="C190" s="21" t="str">
        <x:v>RPT-SCR-01040-01</x:v>
      </x:c>
      <x:c r="D190" s="21" t="str">
        <x:v>SCR-01040</x:v>
      </x:c>
      <x:c r="E190" s="21" t="str">
        <x:v>OISAC_SCR01040</x:v>
      </x:c>
      <x:c r="F190" s="21" t="str">
        <x:v>\cite{OISAC_SCR01040}</x:v>
      </x:c>
      <x:c r="G190" s="21" t="str">
        <x:v>primary_source</x:v>
      </x:c>
      <x:c r="H190" s="21" t="str">
        <x:v>none</x:v>
      </x:c>
      <x:c r="I190" s="21" t="str">
        <x:v>standalone_primary_report</x:v>
      </x:c>
      <x:c r="J190" s="21" t="str">
        <x:v>A Novel Comb Based Multi-Function Architecture for ISAC System</x:v>
      </x:c>
      <x:c r="K190" s="21" t="str">
        <x:v>Z. Xie; W. Dong; Z. Zhu; F. Deng; K. Yin; T. Jiang</x:v>
      </x:c>
      <x:c r="L190" s="23" t="str">
        <x:v>2026</x:v>
      </x:c>
      <x:c r="M190" s="21" t="str">
        <x:v>Journal of Lightwave Technology</x:v>
      </x:c>
      <x:c r="N190" s="21" t="str">
        <x:v>10.1109/jlt.2026.3654105</x:v>
      </x:c>
      <x:c r="O190" s="21" t="str">
        <x:v>https://doi.org/10.1109/jlt.2026.3654105</x:v>
      </x:c>
      <x:c r="P190" s="21" t="str">
        <x:v>IEEE Journals</x:v>
      </x:c>
      <x:c r="Q190" s="23" t="str">
        <x:v>14</x:v>
      </x:c>
      <x:c r="R190" s="23" t="str">
        <x:v>36</x:v>
      </x:c>
      <x:c r="S190" s="23" t="str">
        <x:v>3</x:v>
      </x:c>
      <x:c r="T190" s="23" t="str">
        <x:v>0</x:v>
      </x:c>
      <x:c r="U190" s="23" t="str">
        <x:v>0</x:v>
      </x:c>
      <x:c r="V190" s="23" t="str">
        <x:v>0</x:v>
      </x:c>
      <x:c r="W190" s="23" t="str">
        <x:v>0</x:v>
      </x:c>
      <x:c r="X190" s="23" t="str">
        <x:v>0</x:v>
      </x:c>
      <x:c r="Y190" s="21" t="str">
        <x:v>eligible_with_study_context</x:v>
      </x:c>
      <x:c r="Z190" s="21" t="str">
        <x:v>complete</x:v>
      </x:c>
      <x:c r="AA190" s="21" t="str">
        <x:v>Source SCR-01040 supplies 14 evidence, 36 metric, and 3 governed tradeoff rows; use gate: eligible_with_study_context.</x:v>
      </x:c>
    </x:row>
    <x:row r="191" ht="42" customHeight="1">
      <x:c r="A191" s="21" t="str">
        <x:v>STC-SINGLETON-SCR-01041</x:v>
      </x:c>
      <x:c r="B191" s="21" t="str">
        <x:v>OISAC_SCR01041</x:v>
      </x:c>
      <x:c r="C191" s="21" t="str">
        <x:v>RPT-SCR-01041-01</x:v>
      </x:c>
      <x:c r="D191" s="21" t="str">
        <x:v>SCR-01041</x:v>
      </x:c>
      <x:c r="E191" s="21" t="str">
        <x:v>OISAC_SCR01041</x:v>
      </x:c>
      <x:c r="F191" s="21" t="str">
        <x:v>\cite{OISAC_SCR01041}</x:v>
      </x:c>
      <x:c r="G191" s="21" t="str">
        <x:v>primary_source</x:v>
      </x:c>
      <x:c r="H191" s="21" t="str">
        <x:v>none</x:v>
      </x:c>
      <x:c r="I191" s="21" t="str">
        <x:v>standalone_primary_report</x:v>
      </x:c>
      <x:c r="J191" s="21" t="str">
        <x:v>Photonics-based Terahertz Integrated Communication and Localization for D-band</x:v>
      </x:c>
      <x:c r="K191" s="21" t="str">
        <x:v>Q. Wang; Y. Deng; D. Mishra; Y. Xie; E. Aboutanios; S. Atakaramians</x:v>
      </x:c>
      <x:c r="L191" s="23" t="str">
        <x:v>2024</x:v>
      </x:c>
      <x:c r="M191" s="21" t="str">
        <x:v>2024 49th International Conference on Infrared, Millimeter, and Terahertz Waves (IRMMW-THz)</x:v>
      </x:c>
      <x:c r="N191" s="21" t="str">
        <x:v>10.1109/irmmw-thz60956.2024.10697696</x:v>
      </x:c>
      <x:c r="O191" s="21" t="str">
        <x:v>https://doi.org/10.1109/irmmw-thz60956.2024.10697696</x:v>
      </x:c>
      <x:c r="P191" s="21" t="str">
        <x:v>IEEE Conferences</x:v>
      </x:c>
      <x:c r="Q191" s="23" t="str">
        <x:v>10</x:v>
      </x:c>
      <x:c r="R191" s="23" t="str">
        <x:v>17</x:v>
      </x:c>
      <x:c r="S191" s="23" t="str">
        <x:v>3</x:v>
      </x:c>
      <x:c r="T191" s="23" t="str">
        <x:v>0</x:v>
      </x:c>
      <x:c r="U191" s="23" t="str">
        <x:v>0</x:v>
      </x:c>
      <x:c r="V191" s="23" t="str">
        <x:v>0</x:v>
      </x:c>
      <x:c r="W191" s="23" t="str">
        <x:v>0</x:v>
      </x:c>
      <x:c r="X191" s="23" t="str">
        <x:v>0</x:v>
      </x:c>
      <x:c r="Y191" s="21" t="str">
        <x:v>eligible_with_study_context</x:v>
      </x:c>
      <x:c r="Z191" s="21" t="str">
        <x:v>complete</x:v>
      </x:c>
      <x:c r="AA191" s="21" t="str">
        <x:v>Source SCR-01041 supplies 10 evidence, 17 metric, and 3 governed tradeoff rows; use gate: eligible_with_study_context.</x:v>
      </x:c>
    </x:row>
    <x:row r="192" ht="42" customHeight="1">
      <x:c r="A192" s="21" t="str">
        <x:v>STC-SINGLETON-SCR-01045</x:v>
      </x:c>
      <x:c r="B192" s="21" t="str">
        <x:v>OISAC_SCR01045</x:v>
      </x:c>
      <x:c r="C192" s="21" t="str">
        <x:v>RPT-SCR-01045-01</x:v>
      </x:c>
      <x:c r="D192" s="21" t="str">
        <x:v>SCR-01045</x:v>
      </x:c>
      <x:c r="E192" s="21" t="str">
        <x:v>OISAC_SCR01045</x:v>
      </x:c>
      <x:c r="F192" s="21" t="str">
        <x:v>\cite{OISAC_SCR01045}</x:v>
      </x:c>
      <x:c r="G192" s="21" t="str">
        <x:v>primary_source</x:v>
      </x:c>
      <x:c r="H192" s="21" t="str">
        <x:v>none</x:v>
      </x:c>
      <x:c r="I192" s="21" t="str">
        <x:v>standalone_primary_report</x:v>
      </x:c>
      <x:c r="J192" s="21" t="str">
        <x:v>Secure Multi-Tenant Distributed Sensing for ISAC-Over-Fiber (IOSAC) Networks</x:v>
      </x:c>
      <x:c r="K192" s="21" t="str">
        <x:v>M. Salhi; M. Sliti</x:v>
      </x:c>
      <x:c r="L192" s="23" t="str">
        <x:v>2026</x:v>
      </x:c>
      <x:c r="M192" s="21" t="str">
        <x:v>IEEE Access</x:v>
      </x:c>
      <x:c r="N192" s="21" t="str">
        <x:v>10.1109/access.2026.3680456</x:v>
      </x:c>
      <x:c r="O192" s="21" t="str">
        <x:v>https://doi.org/10.1109/access.2026.3680456</x:v>
      </x:c>
      <x:c r="P192" s="21" t="str">
        <x:v>IEEE Journals</x:v>
      </x:c>
      <x:c r="Q192" s="23" t="str">
        <x:v>14</x:v>
      </x:c>
      <x:c r="R192" s="23" t="str">
        <x:v>49</x:v>
      </x:c>
      <x:c r="S192" s="23" t="str">
        <x:v>4</x:v>
      </x:c>
      <x:c r="T192" s="23" t="str">
        <x:v>0</x:v>
      </x:c>
      <x:c r="U192" s="23" t="str">
        <x:v>0</x:v>
      </x:c>
      <x:c r="V192" s="23" t="str">
        <x:v>0</x:v>
      </x:c>
      <x:c r="W192" s="23" t="str">
        <x:v>0</x:v>
      </x:c>
      <x:c r="X192" s="23" t="str">
        <x:v>0</x:v>
      </x:c>
      <x:c r="Y192" s="21" t="str">
        <x:v>eligible_with_study_context</x:v>
      </x:c>
      <x:c r="Z192" s="21" t="str">
        <x:v>complete</x:v>
      </x:c>
      <x:c r="AA192" s="21" t="str">
        <x:v>Source SCR-01045 supplies 14 evidence, 49 metric, and 4 governed tradeoff rows; use gate: eligible_with_study_context.</x:v>
      </x:c>
    </x:row>
    <x:row r="193" ht="42" customHeight="1">
      <x:c r="A193" s="21" t="str">
        <x:v>STC-SINGLETON-SCR-01047</x:v>
      </x:c>
      <x:c r="B193" s="21" t="str">
        <x:v>OISAC_SCR01047</x:v>
      </x:c>
      <x:c r="C193" s="21" t="str">
        <x:v>RPT-SCR-01047-01</x:v>
      </x:c>
      <x:c r="D193" s="21" t="str">
        <x:v>SCR-01047</x:v>
      </x:c>
      <x:c r="E193" s="21" t="str">
        <x:v>OISAC_SCR01047</x:v>
      </x:c>
      <x:c r="F193" s="21" t="str">
        <x:v>\cite{OISAC_SCR01047}</x:v>
      </x:c>
      <x:c r="G193" s="21" t="str">
        <x:v>primary_source</x:v>
      </x:c>
      <x:c r="H193" s="21" t="str">
        <x:v>none</x:v>
      </x:c>
      <x:c r="I193" s="21" t="str">
        <x:v>standalone_primary_report</x:v>
      </x:c>
      <x:c r="J193" s="21" t="str">
        <x:v>Indoor Health Monitoring with VLC-based Passive Posture Monitoring</x:v>
      </x:c>
      <x:c r="K193" s="21" t="str">
        <x:v>J. Li; Z. Xie; C. Liang; C. Xu; C. Ge; Z. Xu; J. Wang; L. Ruan; W. Gui; X. Liang; W. Ding</x:v>
      </x:c>
      <x:c r="L193" s="23" t="str">
        <x:v>2024</x:v>
      </x:c>
      <x:c r="M193" s="21" t="str">
        <x:v>2024 Photonics &amp; Electromagnetics Research Symposium (PIERS)</x:v>
      </x:c>
      <x:c r="N193" s="21" t="str">
        <x:v>10.1109/piers62282.2024.10618552</x:v>
      </x:c>
      <x:c r="O193" s="21" t="str">
        <x:v>https://doi.org/10.1109/piers62282.2024.10618552</x:v>
      </x:c>
      <x:c r="P193" s="21" t="str">
        <x:v>IEEE Conferences</x:v>
      </x:c>
      <x:c r="Q193" s="23" t="str">
        <x:v>16</x:v>
      </x:c>
      <x:c r="R193" s="23" t="str">
        <x:v>18</x:v>
      </x:c>
      <x:c r="S193" s="23" t="str">
        <x:v>2</x:v>
      </x:c>
      <x:c r="T193" s="23" t="str">
        <x:v>0</x:v>
      </x:c>
      <x:c r="U193" s="23" t="str">
        <x:v>0</x:v>
      </x:c>
      <x:c r="V193" s="23" t="str">
        <x:v>0</x:v>
      </x:c>
      <x:c r="W193" s="23" t="str">
        <x:v>0</x:v>
      </x:c>
      <x:c r="X193" s="23" t="str">
        <x:v>0</x:v>
      </x:c>
      <x:c r="Y193" s="21" t="str">
        <x:v>eligible_with_study_context</x:v>
      </x:c>
      <x:c r="Z193" s="21" t="str">
        <x:v>complete</x:v>
      </x:c>
      <x:c r="AA193" s="21" t="str">
        <x:v>Source SCR-01047 supplies 16 evidence, 18 metric, and 2 governed tradeoff rows; use gate: eligible_with_study_context.</x:v>
      </x:c>
    </x:row>
    <x:row r="194" ht="42" customHeight="1">
      <x:c r="A194" s="21" t="str">
        <x:v>STC-SINGLETON-SCR-01049</x:v>
      </x:c>
      <x:c r="B194" s="21" t="str">
        <x:v>OISAC_SCR01049</x:v>
      </x:c>
      <x:c r="C194" s="21" t="str">
        <x:v>RPT-SCR-01049-01</x:v>
      </x:c>
      <x:c r="D194" s="21" t="str">
        <x:v>SCR-01049</x:v>
      </x:c>
      <x:c r="E194" s="21" t="str">
        <x:v>OISAC_SCR01049</x:v>
      </x:c>
      <x:c r="F194" s="21" t="str">
        <x:v>\cite{OISAC_SCR01049}</x:v>
      </x:c>
      <x:c r="G194" s="21" t="str">
        <x:v>primary_source</x:v>
      </x:c>
      <x:c r="H194" s="21" t="str">
        <x:v>none</x:v>
      </x:c>
      <x:c r="I194" s="21" t="str">
        <x:v>standalone_primary_report</x:v>
      </x:c>
      <x:c r="J194" s="21" t="str">
        <x:v>Optical Transport Networks Supporting Integrated Communications and Sensing in 6G</x:v>
      </x:c>
      <x:c r="K194" s="21" t="str">
        <x:v>A. Tzanakaki; M. Anastasopoulos</x:v>
      </x:c>
      <x:c r="L194" s="23" t="str">
        <x:v>2025</x:v>
      </x:c>
      <x:c r="M194" s="21" t="str">
        <x:v>2025 European Conference on Optical Communications (ECOC)</x:v>
      </x:c>
      <x:c r="N194" s="21" t="str">
        <x:v>10.1109/ecoc66593.2025.11263441</x:v>
      </x:c>
      <x:c r="O194" s="21" t="str">
        <x:v>https://doi.org/10.1109/ecoc66593.2025.11263441</x:v>
      </x:c>
      <x:c r="P194" s="21" t="str">
        <x:v>IEEE Conferences</x:v>
      </x:c>
      <x:c r="Q194" s="23" t="str">
        <x:v>16</x:v>
      </x:c>
      <x:c r="R194" s="23" t="str">
        <x:v>12</x:v>
      </x:c>
      <x:c r="S194" s="23" t="str">
        <x:v>3</x:v>
      </x:c>
      <x:c r="T194" s="23" t="str">
        <x:v>0</x:v>
      </x:c>
      <x:c r="U194" s="23" t="str">
        <x:v>0</x:v>
      </x:c>
      <x:c r="V194" s="23" t="str">
        <x:v>0</x:v>
      </x:c>
      <x:c r="W194" s="23" t="str">
        <x:v>0</x:v>
      </x:c>
      <x:c r="X194" s="23" t="str">
        <x:v>0</x:v>
      </x:c>
      <x:c r="Y194" s="21" t="str">
        <x:v>eligible_with_study_context</x:v>
      </x:c>
      <x:c r="Z194" s="21" t="str">
        <x:v>complete</x:v>
      </x:c>
      <x:c r="AA194" s="21" t="str">
        <x:v>Source SCR-01049 supplies 16 evidence, 12 metric, and 3 governed tradeoff rows; use gate: eligible_with_study_context.</x:v>
      </x:c>
    </x:row>
    <x:row r="195" ht="42" customHeight="1">
      <x:c r="A195" s="21" t="str">
        <x:v>STC-SINGLETON-SCR-01050</x:v>
      </x:c>
      <x:c r="B195" s="21" t="str">
        <x:v>OISAC_SCR01050</x:v>
      </x:c>
      <x:c r="C195" s="21" t="str">
        <x:v>RPT-SCR-01050-01</x:v>
      </x:c>
      <x:c r="D195" s="21" t="str">
        <x:v>SCR-01050</x:v>
      </x:c>
      <x:c r="E195" s="21" t="str">
        <x:v>OISAC_SCR01050</x:v>
      </x:c>
      <x:c r="F195" s="21" t="str">
        <x:v>\cite{OISAC_SCR01050}</x:v>
      </x:c>
      <x:c r="G195" s="21" t="str">
        <x:v>primary_source</x:v>
      </x:c>
      <x:c r="H195" s="21" t="str">
        <x:v>none</x:v>
      </x:c>
      <x:c r="I195" s="21" t="str">
        <x:v>standalone_primary_report</x:v>
      </x:c>
      <x:c r="J195" s="21" t="str">
        <x:v>Hybrid MRR-Assisted Long-Range SDMA for RO-ISAC Systems in Industry IoT Applications</x:v>
      </x:c>
      <x:c r="K195" s="21" t="str">
        <x:v>X. Xiong; H. Wang; S. Shao; C. Chen</x:v>
      </x:c>
      <x:c r="L195" s="23" t="str">
        <x:v>2026</x:v>
      </x:c>
      <x:c r="M195" s="21" t="str">
        <x:v>Journal of Lightwave Technology</x:v>
      </x:c>
      <x:c r="N195" s="21" t="str">
        <x:v>10.1109/jlt.2025.3642277</x:v>
      </x:c>
      <x:c r="O195" s="21" t="str">
        <x:v>https://doi.org/10.1109/jlt.2025.3642277</x:v>
      </x:c>
      <x:c r="P195" s="21" t="str">
        <x:v>IEEE Journals</x:v>
      </x:c>
      <x:c r="Q195" s="23" t="str">
        <x:v>16</x:v>
      </x:c>
      <x:c r="R195" s="23" t="str">
        <x:v>16</x:v>
      </x:c>
      <x:c r="S195" s="23" t="str">
        <x:v>2</x:v>
      </x:c>
      <x:c r="T195" s="23" t="str">
        <x:v>0</x:v>
      </x:c>
      <x:c r="U195" s="23" t="str">
        <x:v>0</x:v>
      </x:c>
      <x:c r="V195" s="23" t="str">
        <x:v>0</x:v>
      </x:c>
      <x:c r="W195" s="23" t="str">
        <x:v>0</x:v>
      </x:c>
      <x:c r="X195" s="23" t="str">
        <x:v>0</x:v>
      </x:c>
      <x:c r="Y195" s="21" t="str">
        <x:v>eligible_with_study_context</x:v>
      </x:c>
      <x:c r="Z195" s="21" t="str">
        <x:v>complete</x:v>
      </x:c>
      <x:c r="AA195" s="21" t="str">
        <x:v>Source SCR-01050 supplies 16 evidence, 16 metric, and 2 governed tradeoff rows; use gate: eligible_with_study_context.</x:v>
      </x:c>
    </x:row>
    <x:row r="196" ht="42" customHeight="1">
      <x:c r="A196" s="21" t="str">
        <x:v>STC-SINGLETON-SCR-01059</x:v>
      </x:c>
      <x:c r="B196" s="21" t="str">
        <x:v>OISAC_SCR01059</x:v>
      </x:c>
      <x:c r="C196" s="21" t="str">
        <x:v>RPT-SCR-01059-01</x:v>
      </x:c>
      <x:c r="D196" s="21" t="str">
        <x:v>SCR-01059</x:v>
      </x:c>
      <x:c r="E196" s="21" t="str">
        <x:v>OISAC_SCR01059</x:v>
      </x:c>
      <x:c r="F196" s="21" t="str">
        <x:v>\cite{OISAC_SCR01059}</x:v>
      </x:c>
      <x:c r="G196" s="21" t="str">
        <x:v>primary_source</x:v>
      </x:c>
      <x:c r="H196" s="21" t="str">
        <x:v>none</x:v>
      </x:c>
      <x:c r="I196" s="21" t="str">
        <x:v>standalone_primary_report</x:v>
      </x:c>
      <x:c r="J196" s="21" t="str">
        <x:v>Joint Task Offloading and Resource Allocation for Integrated VLC and Sensing in Digital Twin-Aided Vehicular Edge Computing Networks</x:v>
      </x:c>
      <x:c r="K196" s="21" t="str">
        <x:v>H. -N. Yang; J. -Y. Wang; Q. Zeng; M. Cheng; M. Lin; J. -B. Wang</x:v>
      </x:c>
      <x:c r="L196" s="23" t="str">
        <x:v>2025</x:v>
      </x:c>
      <x:c r="M196" s="21" t="str">
        <x:v>IEEE Transactions on Vehicular Technology</x:v>
      </x:c>
      <x:c r="N196" s="21" t="str">
        <x:v>10.1109/tvt.2024.3505857</x:v>
      </x:c>
      <x:c r="O196" s="21" t="str">
        <x:v>https://doi.org/10.1109/tvt.2024.3505857</x:v>
      </x:c>
      <x:c r="P196" s="21" t="str">
        <x:v>IEEE Journals</x:v>
      </x:c>
      <x:c r="Q196" s="23" t="str">
        <x:v>15</x:v>
      </x:c>
      <x:c r="R196" s="23" t="str">
        <x:v>18</x:v>
      </x:c>
      <x:c r="S196" s="23" t="str">
        <x:v>2</x:v>
      </x:c>
      <x:c r="T196" s="23" t="str">
        <x:v>0</x:v>
      </x:c>
      <x:c r="U196" s="23" t="str">
        <x:v>0</x:v>
      </x:c>
      <x:c r="V196" s="23" t="str">
        <x:v>0</x:v>
      </x:c>
      <x:c r="W196" s="23" t="str">
        <x:v>0</x:v>
      </x:c>
      <x:c r="X196" s="23" t="str">
        <x:v>0</x:v>
      </x:c>
      <x:c r="Y196" s="21" t="str">
        <x:v>eligible_with_study_context</x:v>
      </x:c>
      <x:c r="Z196" s="21" t="str">
        <x:v>complete</x:v>
      </x:c>
      <x:c r="AA196" s="21" t="str">
        <x:v>Source SCR-01059 supplies 15 evidence, 18 metric, and 2 governed tradeoff rows; use gate: eligible_with_study_context.</x:v>
      </x:c>
    </x:row>
    <x:row r="197" ht="42" customHeight="1">
      <x:c r="A197" s="21" t="str">
        <x:v>STC-SINGLETON-SCR-01060</x:v>
      </x:c>
      <x:c r="B197" s="21" t="str">
        <x:v>OISAC_SCR01060</x:v>
      </x:c>
      <x:c r="C197" s="21" t="str">
        <x:v>RPT-SCR-01060-01</x:v>
      </x:c>
      <x:c r="D197" s="21" t="str">
        <x:v>SCR-01060</x:v>
      </x:c>
      <x:c r="E197" s="21" t="str">
        <x:v>OISAC_SCR01060</x:v>
      </x:c>
      <x:c r="F197" s="21" t="str">
        <x:v>\cite{OISAC_SCR01060}</x:v>
      </x:c>
      <x:c r="G197" s="21" t="str">
        <x:v>primary_source</x:v>
      </x:c>
      <x:c r="H197" s="21" t="str">
        <x:v>none</x:v>
      </x:c>
      <x:c r="I197" s="21" t="str">
        <x:v>standalone_primary_report</x:v>
      </x:c>
      <x:c r="J197" s="21" t="str">
        <x:v>An Information Interaction Method for Autonomous Train Operation Protection Based on Detection and Communication Integrated Microwave Photonic Radar</x:v>
      </x:c>
      <x:c r="K197" s="21" t="str">
        <x:v>H. Dong; K. Xi; H. Song; S. Liu; Z. Zhang</x:v>
      </x:c>
      <x:c r="L197" s="23" t="str">
        <x:v>2026</x:v>
      </x:c>
      <x:c r="M197" s="21" t="str">
        <x:v>IEEE Transactions on Instrumentation and Measurement</x:v>
      </x:c>
      <x:c r="N197" s="21" t="str">
        <x:v>10.1109/tim.2026.3654714</x:v>
      </x:c>
      <x:c r="O197" s="21" t="str">
        <x:v>https://doi.org/10.1109/tim.2026.3654714</x:v>
      </x:c>
      <x:c r="P197" s="21" t="str">
        <x:v>IEEE Journals</x:v>
      </x:c>
      <x:c r="Q197" s="23" t="str">
        <x:v>16</x:v>
      </x:c>
      <x:c r="R197" s="23" t="str">
        <x:v>20</x:v>
      </x:c>
      <x:c r="S197" s="23" t="str">
        <x:v>3</x:v>
      </x:c>
      <x:c r="T197" s="23" t="str">
        <x:v>0</x:v>
      </x:c>
      <x:c r="U197" s="23" t="str">
        <x:v>0</x:v>
      </x:c>
      <x:c r="V197" s="23" t="str">
        <x:v>0</x:v>
      </x:c>
      <x:c r="W197" s="23" t="str">
        <x:v>0</x:v>
      </x:c>
      <x:c r="X197" s="23" t="str">
        <x:v>0</x:v>
      </x:c>
      <x:c r="Y197" s="21" t="str">
        <x:v>eligible_with_study_context</x:v>
      </x:c>
      <x:c r="Z197" s="21" t="str">
        <x:v>complete</x:v>
      </x:c>
      <x:c r="AA197" s="21" t="str">
        <x:v>Source SCR-01060 supplies 16 evidence, 20 metric, and 3 governed tradeoff rows; use gate: eligible_with_study_context.</x:v>
      </x:c>
    </x:row>
    <x:row r="198" ht="42" customHeight="1">
      <x:c r="A198" s="21" t="str">
        <x:v>STC-SINGLETON-SCR-01070</x:v>
      </x:c>
      <x:c r="B198" s="21" t="str">
        <x:v>OISAC_SCR01070</x:v>
      </x:c>
      <x:c r="C198" s="21" t="str">
        <x:v>RPT-SCR-01070-01</x:v>
      </x:c>
      <x:c r="D198" s="21" t="str">
        <x:v>SCR-01070</x:v>
      </x:c>
      <x:c r="E198" s="21" t="str">
        <x:v>OISAC_SCR01070</x:v>
      </x:c>
      <x:c r="F198" s="21" t="str">
        <x:v>\cite{OISAC_SCR01070}</x:v>
      </x:c>
      <x:c r="G198" s="21" t="str">
        <x:v>primary_source</x:v>
      </x:c>
      <x:c r="H198" s="21" t="str">
        <x:v>none</x:v>
      </x:c>
      <x:c r="I198" s="21" t="str">
        <x:v>standalone_primary_report</x:v>
      </x:c>
      <x:c r="J198" s="21" t="str">
        <x:v>Integrated 1-Tb/s/λ Coherent Optical Transmission and Forward Vibration Sensing Using DFB Lasers with Combined Linewidth of 21.4 MHz</x:v>
      </x:c>
      <x:c r="K198" s="21" t="str">
        <x:v>Y. Zhu; C. Zhang; Y. Zou; X. Cai; X. Fang; J. Lin; X. Zhou; F. Li; Z. Chen; X. Xie; W. Hu; F. Zhang</x:v>
      </x:c>
      <x:c r="L198" s="23" t="str">
        <x:v>2025</x:v>
      </x:c>
      <x:c r="M198" s="21" t="str">
        <x:v>2025 Asia Communications and Photonics Conference (ACP)</x:v>
      </x:c>
      <x:c r="N198" s="21" t="str">
        <x:v>10.1109/acp66871.2025.11350713</x:v>
      </x:c>
      <x:c r="O198" s="21" t="str">
        <x:v>https://doi.org/10.1109/acp66871.2025.11350713</x:v>
      </x:c>
      <x:c r="P198" s="21" t="str">
        <x:v>IEEE Conferences</x:v>
      </x:c>
      <x:c r="Q198" s="23" t="str">
        <x:v>12</x:v>
      </x:c>
      <x:c r="R198" s="23" t="str">
        <x:v>21</x:v>
      </x:c>
      <x:c r="S198" s="23" t="str">
        <x:v>3</x:v>
      </x:c>
      <x:c r="T198" s="23" t="str">
        <x:v>0</x:v>
      </x:c>
      <x:c r="U198" s="23" t="str">
        <x:v>0</x:v>
      </x:c>
      <x:c r="V198" s="23" t="str">
        <x:v>0</x:v>
      </x:c>
      <x:c r="W198" s="23" t="str">
        <x:v>0</x:v>
      </x:c>
      <x:c r="X198" s="23" t="str">
        <x:v>0</x:v>
      </x:c>
      <x:c r="Y198" s="21" t="str">
        <x:v>eligible_with_study_context</x:v>
      </x:c>
      <x:c r="Z198" s="21" t="str">
        <x:v>complete</x:v>
      </x:c>
      <x:c r="AA198" s="21" t="str">
        <x:v>Source SCR-01070 supplies 12 evidence, 21 metric, and 3 governed tradeoff rows; use gate: eligible_with_study_context.</x:v>
      </x:c>
    </x:row>
    <x:row r="199" ht="42" customHeight="1">
      <x:c r="A199" s="21" t="str">
        <x:v>STC-SINGLETON-SCR-01071</x:v>
      </x:c>
      <x:c r="B199" s="21" t="str">
        <x:v>OISAC_SCR01071</x:v>
      </x:c>
      <x:c r="C199" s="21" t="str">
        <x:v>RPT-SCR-01071-01</x:v>
      </x:c>
      <x:c r="D199" s="21" t="str">
        <x:v>SCR-01071</x:v>
      </x:c>
      <x:c r="E199" s="21" t="str">
        <x:v>OISAC_SCR01071</x:v>
      </x:c>
      <x:c r="F199" s="21" t="str">
        <x:v>\cite{OISAC_SCR01071}</x:v>
      </x:c>
      <x:c r="G199" s="21" t="str">
        <x:v>primary_source</x:v>
      </x:c>
      <x:c r="H199" s="21" t="str">
        <x:v>none</x:v>
      </x:c>
      <x:c r="I199" s="21" t="str">
        <x:v>standalone_primary_report</x:v>
      </x:c>
      <x:c r="J199" s="21" t="str">
        <x:v>Long-Distance Integrated Forward Vibration Sensing and Terabit Optical Communication with 12.5-MHz DFB Laser via Phase Noise Separation</x:v>
      </x:c>
      <x:c r="K199" s="21" t="str">
        <x:v>Y. Zhu; C. Zhang; Y. Zou; X. Cai; Y. Hu; X. Fang; J. Lin; J. Li; X. Zhou; X. Xie; W. Hu; F. Zhang</x:v>
      </x:c>
      <x:c r="L199" s="23" t="str">
        <x:v>2026</x:v>
      </x:c>
      <x:c r="M199" s="21" t="str">
        <x:v>2026 Optical Fiber Communications Conference and Exhibition (OFC)</x:v>
      </x:c>
      <x:c r="N199" s="21" t="str"/>
      <x:c r="O199" s="21" t="str">
        <x:v>https://ieeexplore.ieee.org/document/11524221</x:v>
      </x:c>
      <x:c r="P199" s="21" t="str">
        <x:v>IEEE Conferences</x:v>
      </x:c>
      <x:c r="Q199" s="23" t="str">
        <x:v>11</x:v>
      </x:c>
      <x:c r="R199" s="23" t="str">
        <x:v>25</x:v>
      </x:c>
      <x:c r="S199" s="23" t="str">
        <x:v>3</x:v>
      </x:c>
      <x:c r="T199" s="23" t="str">
        <x:v>0</x:v>
      </x:c>
      <x:c r="U199" s="23" t="str">
        <x:v>0</x:v>
      </x:c>
      <x:c r="V199" s="23" t="str">
        <x:v>0</x:v>
      </x:c>
      <x:c r="W199" s="23" t="str">
        <x:v>0</x:v>
      </x:c>
      <x:c r="X199" s="23" t="str">
        <x:v>0</x:v>
      </x:c>
      <x:c r="Y199" s="21" t="str">
        <x:v>eligible_with_study_context</x:v>
      </x:c>
      <x:c r="Z199" s="21" t="str">
        <x:v>complete</x:v>
      </x:c>
      <x:c r="AA199" s="21" t="str">
        <x:v>Source SCR-01071 supplies 11 evidence, 25 metric, and 3 governed tradeoff rows; use gate: eligible_with_study_context.</x:v>
      </x:c>
    </x:row>
    <x:row r="200" ht="42" customHeight="1">
      <x:c r="A200" s="21" t="str">
        <x:v>STC-SINGLETON-SCR-01072</x:v>
      </x:c>
      <x:c r="B200" s="21" t="str">
        <x:v>OISAC_SCR01072</x:v>
      </x:c>
      <x:c r="C200" s="21" t="str">
        <x:v>RPT-SCR-01072-01</x:v>
      </x:c>
      <x:c r="D200" s="21" t="str">
        <x:v>SCR-01072</x:v>
      </x:c>
      <x:c r="E200" s="21" t="str">
        <x:v>OISAC_SCR01072</x:v>
      </x:c>
      <x:c r="F200" s="21" t="str">
        <x:v>\cite{OISAC_SCR01072}</x:v>
      </x:c>
      <x:c r="G200" s="21" t="str">
        <x:v>primary_source</x:v>
      </x:c>
      <x:c r="H200" s="21" t="str">
        <x:v>none</x:v>
      </x:c>
      <x:c r="I200" s="21" t="str">
        <x:v>standalone_primary_report</x:v>
      </x:c>
      <x:c r="J200" s="21" t="str">
        <x:v>Accurate vibration recognition enabled by synergistic sensing based on both phase and SOP for stable IM-DD optical interconnects</x:v>
      </x:c>
      <x:c r="K200" s="21" t="str">
        <x:v>B. Yang; H. Yu; Y. Yan; C. Zhang; J. Tang; Y. Hao; J. Wei; G. Sun; Y. Yang</x:v>
      </x:c>
      <x:c r="L200" s="23" t="str">
        <x:v>2026</x:v>
      </x:c>
      <x:c r="M200" s="21" t="str">
        <x:v>Journal of Optical Communications and Networking</x:v>
      </x:c>
      <x:c r="N200" s="21" t="str">
        <x:v>10.1364/jocn.584770</x:v>
      </x:c>
      <x:c r="O200" s="21" t="str">
        <x:v>https://doi.org/10.1364/jocn.584770</x:v>
      </x:c>
      <x:c r="P200" s="21" t="str">
        <x:v>IEEE Journals</x:v>
      </x:c>
      <x:c r="Q200" s="23" t="str">
        <x:v>15</x:v>
      </x:c>
      <x:c r="R200" s="23" t="str">
        <x:v>53</x:v>
      </x:c>
      <x:c r="S200" s="23" t="str">
        <x:v>3</x:v>
      </x:c>
      <x:c r="T200" s="23" t="str">
        <x:v>0</x:v>
      </x:c>
      <x:c r="U200" s="23" t="str">
        <x:v>0</x:v>
      </x:c>
      <x:c r="V200" s="23" t="str">
        <x:v>0</x:v>
      </x:c>
      <x:c r="W200" s="23" t="str">
        <x:v>0</x:v>
      </x:c>
      <x:c r="X200" s="23" t="str">
        <x:v>0</x:v>
      </x:c>
      <x:c r="Y200" s="21" t="str">
        <x:v>eligible_with_study_context</x:v>
      </x:c>
      <x:c r="Z200" s="21" t="str">
        <x:v>complete</x:v>
      </x:c>
      <x:c r="AA200" s="21" t="str">
        <x:v>Source SCR-01072 supplies 15 evidence, 53 metric, and 3 governed tradeoff rows; use gate: eligible_with_study_context.</x:v>
      </x:c>
    </x:row>
    <x:row r="201" ht="42" customHeight="1">
      <x:c r="A201" s="21" t="str">
        <x:v>STC-SINGLETON-SCR-01073</x:v>
      </x:c>
      <x:c r="B201" s="21" t="str">
        <x:v>OISAC_SCR01073</x:v>
      </x:c>
      <x:c r="C201" s="21" t="str">
        <x:v>RPT-SCR-01073-01</x:v>
      </x:c>
      <x:c r="D201" s="21" t="str">
        <x:v>SCR-01073</x:v>
      </x:c>
      <x:c r="E201" s="21" t="str">
        <x:v>OISAC_SCR01073</x:v>
      </x:c>
      <x:c r="F201" s="21" t="str">
        <x:v>\cite{OISAC_SCR01073}</x:v>
      </x:c>
      <x:c r="G201" s="21" t="str">
        <x:v>primary_source</x:v>
      </x:c>
      <x:c r="H201" s="21" t="str">
        <x:v>none</x:v>
      </x:c>
      <x:c r="I201" s="21" t="str">
        <x:v>standalone_primary_report</x:v>
      </x:c>
      <x:c r="J201" s="21" t="str">
        <x:v>Photonics-Assisted System for Joint Radar Ranging, Wireless Communications, and Spectrum Sensing</x:v>
      </x:c>
      <x:c r="K201" s="21" t="str">
        <x:v>X. Meng; J. Zheng; J. Li; T. Pu; H. Zhou; S. Liu; X. Zhao</x:v>
      </x:c>
      <x:c r="L201" s="23" t="str">
        <x:v>2026</x:v>
      </x:c>
      <x:c r="M201" s="21" t="str">
        <x:v>Journal of Lightwave Technology</x:v>
      </x:c>
      <x:c r="N201" s="21" t="str">
        <x:v>10.1109/jlt.2025.3632104</x:v>
      </x:c>
      <x:c r="O201" s="21" t="str">
        <x:v>https://doi.org/10.1109/jlt.2025.3632104</x:v>
      </x:c>
      <x:c r="P201" s="21" t="str">
        <x:v>IEEE Journals</x:v>
      </x:c>
      <x:c r="Q201" s="23" t="str">
        <x:v>14</x:v>
      </x:c>
      <x:c r="R201" s="23" t="str">
        <x:v>37</x:v>
      </x:c>
      <x:c r="S201" s="23" t="str">
        <x:v>3</x:v>
      </x:c>
      <x:c r="T201" s="23" t="str">
        <x:v>0</x:v>
      </x:c>
      <x:c r="U201" s="23" t="str">
        <x:v>0</x:v>
      </x:c>
      <x:c r="V201" s="23" t="str">
        <x:v>0</x:v>
      </x:c>
      <x:c r="W201" s="23" t="str">
        <x:v>0</x:v>
      </x:c>
      <x:c r="X201" s="23" t="str">
        <x:v>0</x:v>
      </x:c>
      <x:c r="Y201" s="21" t="str">
        <x:v>eligible_with_study_context</x:v>
      </x:c>
      <x:c r="Z201" s="21" t="str">
        <x:v>complete</x:v>
      </x:c>
      <x:c r="AA201" s="21" t="str">
        <x:v>Source SCR-01073 supplies 14 evidence, 37 metric, and 3 governed tradeoff rows; use gate: eligible_with_study_context.</x:v>
      </x:c>
    </x:row>
    <x:row r="202" ht="42" customHeight="1">
      <x:c r="A202" s="21" t="str">
        <x:v>STC-SINGLETON-SCR-01079</x:v>
      </x:c>
      <x:c r="B202" s="21" t="str">
        <x:v>OISAC_SCR01079</x:v>
      </x:c>
      <x:c r="C202" s="21" t="str">
        <x:v>RPT-SCR-01079-01</x:v>
      </x:c>
      <x:c r="D202" s="21" t="str">
        <x:v>SCR-01079</x:v>
      </x:c>
      <x:c r="E202" s="21" t="str">
        <x:v>OISAC_SCR01079</x:v>
      </x:c>
      <x:c r="F202" s="21" t="str">
        <x:v>\cite{OISAC_SCR01079}</x:v>
      </x:c>
      <x:c r="G202" s="21" t="str">
        <x:v>primary_source</x:v>
      </x:c>
      <x:c r="H202" s="21" t="str">
        <x:v>none</x:v>
      </x:c>
      <x:c r="I202" s="21" t="str">
        <x:v>standalone_primary_report</x:v>
      </x:c>
      <x:c r="J202" s="21" t="str">
        <x:v>Sensing as a Service: Can In-Band Distributed Fiber Optic Sensing Coexist With Coherent Metro DWDM Communication Network?</x:v>
      </x:c>
      <x:c r="K202" s="21" t="str">
        <x:v>J. Wang; A. P. T. Lau; C. Lu</x:v>
      </x:c>
      <x:c r="L202" s="23" t="str">
        <x:v>2026</x:v>
      </x:c>
      <x:c r="M202" s="21" t="str">
        <x:v>Journal of Lightwave Technology</x:v>
      </x:c>
      <x:c r="N202" s="21" t="str">
        <x:v>10.1109/jlt.2025.3647287</x:v>
      </x:c>
      <x:c r="O202" s="21" t="str">
        <x:v>https://doi.org/10.1109/jlt.2025.3647287</x:v>
      </x:c>
      <x:c r="P202" s="21" t="str">
        <x:v>IEEE Journals</x:v>
      </x:c>
      <x:c r="Q202" s="23" t="str">
        <x:v>14</x:v>
      </x:c>
      <x:c r="R202" s="23" t="str">
        <x:v>46</x:v>
      </x:c>
      <x:c r="S202" s="23" t="str">
        <x:v>3</x:v>
      </x:c>
      <x:c r="T202" s="23" t="str">
        <x:v>0</x:v>
      </x:c>
      <x:c r="U202" s="23" t="str">
        <x:v>0</x:v>
      </x:c>
      <x:c r="V202" s="23" t="str">
        <x:v>0</x:v>
      </x:c>
      <x:c r="W202" s="23" t="str">
        <x:v>0</x:v>
      </x:c>
      <x:c r="X202" s="23" t="str">
        <x:v>0</x:v>
      </x:c>
      <x:c r="Y202" s="21" t="str">
        <x:v>eligible_with_study_context</x:v>
      </x:c>
      <x:c r="Z202" s="21" t="str">
        <x:v>complete</x:v>
      </x:c>
      <x:c r="AA202" s="21" t="str">
        <x:v>Source SCR-01079 supplies 14 evidence, 46 metric, and 3 governed tradeoff rows; use gate: eligible_with_study_context.</x:v>
      </x:c>
    </x:row>
    <x:row r="203" ht="42" customHeight="1">
      <x:c r="A203" s="21" t="str">
        <x:v>STC-SINGLETON-SCR-01081</x:v>
      </x:c>
      <x:c r="B203" s="21" t="str">
        <x:v>OISAC_SCR01081</x:v>
      </x:c>
      <x:c r="C203" s="21" t="str">
        <x:v>RPT-SCR-01081-01</x:v>
      </x:c>
      <x:c r="D203" s="21" t="str">
        <x:v>SCR-01081</x:v>
      </x:c>
      <x:c r="E203" s="21" t="str">
        <x:v>OISAC_SCR01081</x:v>
      </x:c>
      <x:c r="F203" s="21" t="str">
        <x:v>\cite{OISAC_SCR01081}</x:v>
      </x:c>
      <x:c r="G203" s="21" t="str">
        <x:v>primary_source</x:v>
      </x:c>
      <x:c r="H203" s="21" t="str">
        <x:v>none</x:v>
      </x:c>
      <x:c r="I203" s="21" t="str">
        <x:v>standalone_primary_report</x:v>
      </x:c>
      <x:c r="J203" s="21" t="str">
        <x:v>Visible Light Integrated Positioning and Communication: A Multi-Task Federated Learning Framework</x:v>
      </x:c>
      <x:c r="K203" s="21" t="str">
        <x:v>T. Wei; S. Liu; X. Du</x:v>
      </x:c>
      <x:c r="L203" s="23" t="str">
        <x:v>2023</x:v>
      </x:c>
      <x:c r="M203" s="21" t="str">
        <x:v>IEEE Transactions on Mobile Computing</x:v>
      </x:c>
      <x:c r="N203" s="21" t="str">
        <x:v>10.1109/tmc.2022.3207164</x:v>
      </x:c>
      <x:c r="O203" s="21" t="str">
        <x:v>https://doi.org/10.1109/tmc.2022.3207164</x:v>
      </x:c>
      <x:c r="P203" s="21" t="str">
        <x:v>IEEE Journals</x:v>
      </x:c>
      <x:c r="Q203" s="23" t="str">
        <x:v>14</x:v>
      </x:c>
      <x:c r="R203" s="23" t="str">
        <x:v>39</x:v>
      </x:c>
      <x:c r="S203" s="23" t="str">
        <x:v>3</x:v>
      </x:c>
      <x:c r="T203" s="23" t="str">
        <x:v>0</x:v>
      </x:c>
      <x:c r="U203" s="23" t="str">
        <x:v>0</x:v>
      </x:c>
      <x:c r="V203" s="23" t="str">
        <x:v>0</x:v>
      </x:c>
      <x:c r="W203" s="23" t="str">
        <x:v>0</x:v>
      </x:c>
      <x:c r="X203" s="23" t="str">
        <x:v>0</x:v>
      </x:c>
      <x:c r="Y203" s="21" t="str">
        <x:v>eligible_with_study_context</x:v>
      </x:c>
      <x:c r="Z203" s="21" t="str">
        <x:v>complete</x:v>
      </x:c>
      <x:c r="AA203" s="21" t="str">
        <x:v>Source SCR-01081 supplies 14 evidence, 39 metric, and 3 governed tradeoff rows; use gate: eligible_with_study_context.</x:v>
      </x:c>
    </x:row>
    <x:row r="204" ht="42" customHeight="1">
      <x:c r="A204" s="21" t="str">
        <x:v>STC-SINGLETON-SCR-01085</x:v>
      </x:c>
      <x:c r="B204" s="21" t="str">
        <x:v>OISAC_SCR01085</x:v>
      </x:c>
      <x:c r="C204" s="21" t="str">
        <x:v>RPT-SCR-01085-01</x:v>
      </x:c>
      <x:c r="D204" s="21" t="str">
        <x:v>SCR-01085</x:v>
      </x:c>
      <x:c r="E204" s="21" t="str">
        <x:v>OISAC_SCR01085</x:v>
      </x:c>
      <x:c r="F204" s="21" t="str">
        <x:v>\cite{OISAC_SCR01085}</x:v>
      </x:c>
      <x:c r="G204" s="21" t="str">
        <x:v>primary_source</x:v>
      </x:c>
      <x:c r="H204" s="21" t="str">
        <x:v>none</x:v>
      </x:c>
      <x:c r="I204" s="21" t="str">
        <x:v>standalone_primary_report</x:v>
      </x:c>
      <x:c r="J204" s="21" t="str">
        <x:v>Turbulence-Resilient Communication through Beam Shaping Enabled by Multi-Region Turbulence Intensity Sensing</x:v>
      </x:c>
      <x:c r="K204" s="21" t="str">
        <x:v>M. Zhou; R. Jin; S. Chen; J. Ding; M. Xu; Z. Wu</x:v>
      </x:c>
      <x:c r="L204" s="23" t="str">
        <x:v>2025</x:v>
      </x:c>
      <x:c r="M204" s="21" t="str">
        <x:v>2025 Asia Communications and Photonics Conference (ACP)</x:v>
      </x:c>
      <x:c r="N204" s="21" t="str">
        <x:v>10.1109/acp66871.2025.11350958</x:v>
      </x:c>
      <x:c r="O204" s="21" t="str">
        <x:v>https://doi.org/10.1109/acp66871.2025.11350958</x:v>
      </x:c>
      <x:c r="P204" s="21" t="str">
        <x:v>IEEE Conferences</x:v>
      </x:c>
      <x:c r="Q204" s="23" t="str">
        <x:v>14</x:v>
      </x:c>
      <x:c r="R204" s="23" t="str">
        <x:v>46</x:v>
      </x:c>
      <x:c r="S204" s="23" t="str">
        <x:v>3</x:v>
      </x:c>
      <x:c r="T204" s="23" t="str">
        <x:v>0</x:v>
      </x:c>
      <x:c r="U204" s="23" t="str">
        <x:v>0</x:v>
      </x:c>
      <x:c r="V204" s="23" t="str">
        <x:v>0</x:v>
      </x:c>
      <x:c r="W204" s="23" t="str">
        <x:v>0</x:v>
      </x:c>
      <x:c r="X204" s="23" t="str">
        <x:v>0</x:v>
      </x:c>
      <x:c r="Y204" s="21" t="str">
        <x:v>eligible_with_study_context</x:v>
      </x:c>
      <x:c r="Z204" s="21" t="str">
        <x:v>complete</x:v>
      </x:c>
      <x:c r="AA204" s="21" t="str">
        <x:v>Source SCR-01085 supplies 14 evidence, 46 metric, and 3 governed tradeoff rows; use gate: eligible_with_study_context.</x:v>
      </x:c>
    </x:row>
    <x:row r="205" ht="42" customHeight="1">
      <x:c r="A205" s="21" t="str">
        <x:v>STC-SINGLETON-SCR-01086</x:v>
      </x:c>
      <x:c r="B205" s="21" t="str">
        <x:v>OISAC_SCR01086</x:v>
      </x:c>
      <x:c r="C205" s="21" t="str">
        <x:v>RPT-SCR-01086-01</x:v>
      </x:c>
      <x:c r="D205" s="21" t="str">
        <x:v>SCR-01086</x:v>
      </x:c>
      <x:c r="E205" s="21" t="str">
        <x:v>OISAC_SCR01086</x:v>
      </x:c>
      <x:c r="F205" s="21" t="str">
        <x:v>\cite{OISAC_SCR01086}</x:v>
      </x:c>
      <x:c r="G205" s="21" t="str">
        <x:v>primary_source</x:v>
      </x:c>
      <x:c r="H205" s="21" t="str">
        <x:v>none</x:v>
      </x:c>
      <x:c r="I205" s="21" t="str">
        <x:v>standalone_primary_report</x:v>
      </x:c>
      <x:c r="J205" s="21" t="str">
        <x:v>Simultaneous distributed sensing and communication enabled by space and wavelength division multiplexing in a field-deployed seven-core fiber</x:v>
      </x:c>
      <x:c r="K205" s="21" t="str">
        <x:v>Z. Wei; Y. Chen; Y. Wu; H. Gao; R. Chen; T. Li; S. Li; J. Chai; Z. Li; C. Lu</x:v>
      </x:c>
      <x:c r="L205" s="23" t="str">
        <x:v>2026</x:v>
      </x:c>
      <x:c r="M205" s="21" t="str">
        <x:v>Journal of Optical Communications and Networking</x:v>
      </x:c>
      <x:c r="N205" s="21" t="str">
        <x:v>10.1364/jocn.584295</x:v>
      </x:c>
      <x:c r="O205" s="21" t="str">
        <x:v>https://doi.org/10.1364/jocn.584295</x:v>
      </x:c>
      <x:c r="P205" s="21" t="str">
        <x:v>IEEE Journals</x:v>
      </x:c>
      <x:c r="Q205" s="23" t="str">
        <x:v>16</x:v>
      </x:c>
      <x:c r="R205" s="23" t="str">
        <x:v>21</x:v>
      </x:c>
      <x:c r="S205" s="23" t="str">
        <x:v>3</x:v>
      </x:c>
      <x:c r="T205" s="23" t="str">
        <x:v>0</x:v>
      </x:c>
      <x:c r="U205" s="23" t="str">
        <x:v>0</x:v>
      </x:c>
      <x:c r="V205" s="23" t="str">
        <x:v>0</x:v>
      </x:c>
      <x:c r="W205" s="23" t="str">
        <x:v>0</x:v>
      </x:c>
      <x:c r="X205" s="23" t="str">
        <x:v>0</x:v>
      </x:c>
      <x:c r="Y205" s="21" t="str">
        <x:v>eligible_with_study_context</x:v>
      </x:c>
      <x:c r="Z205" s="21" t="str">
        <x:v>complete</x:v>
      </x:c>
      <x:c r="AA205" s="21" t="str">
        <x:v>Source SCR-01086 supplies 16 evidence, 21 metric, and 3 governed tradeoff rows; use gate: eligible_with_study_context.</x:v>
      </x:c>
    </x:row>
    <x:row r="206" ht="42" customHeight="1">
      <x:c r="A206" s="21" t="str">
        <x:v>STC-SINGLETON-SCR-01088</x:v>
      </x:c>
      <x:c r="B206" s="21" t="str">
        <x:v>OISAC_SCR01088</x:v>
      </x:c>
      <x:c r="C206" s="21" t="str">
        <x:v>RPT-SCR-01088-01</x:v>
      </x:c>
      <x:c r="D206" s="21" t="str">
        <x:v>SCR-01088</x:v>
      </x:c>
      <x:c r="E206" s="21" t="str">
        <x:v>OISAC_SCR01088</x:v>
      </x:c>
      <x:c r="F206" s="21" t="str">
        <x:v>\cite{OISAC_SCR01088}</x:v>
      </x:c>
      <x:c r="G206" s="21" t="str">
        <x:v>primary_source</x:v>
      </x:c>
      <x:c r="H206" s="21" t="str">
        <x:v>none</x:v>
      </x:c>
      <x:c r="I206" s="21" t="str">
        <x:v>standalone_primary_report</x:v>
      </x:c>
      <x:c r="J206" s="21" t="str">
        <x:v>Picosecond-Level Round-Trip Delay Measurement Scheme Based on Non-Commensurate Sampling for Future Deterministic Passive Optical Networks</x:v>
      </x:c>
      <x:c r="K206" s="21" t="str">
        <x:v>Y. Zou; Z. Luo; J. Xu; S. Zhang; X. Dai; M. Cheng; C. Liu; L. Deng; Q. Yang</x:v>
      </x:c>
      <x:c r="L206" s="23" t="str">
        <x:v>2026</x:v>
      </x:c>
      <x:c r="M206" s="21" t="str">
        <x:v>Journal of Lightwave Technology</x:v>
      </x:c>
      <x:c r="N206" s="21" t="str">
        <x:v>10.1109/jlt.2026.3692484</x:v>
      </x:c>
      <x:c r="O206" s="21" t="str">
        <x:v>https://doi.org/10.1109/jlt.2026.3692484</x:v>
      </x:c>
      <x:c r="P206" s="21" t="str">
        <x:v>IEEE Journals</x:v>
      </x:c>
      <x:c r="Q206" s="23" t="str">
        <x:v>16</x:v>
      </x:c>
      <x:c r="R206" s="23" t="str">
        <x:v>23</x:v>
      </x:c>
      <x:c r="S206" s="23" t="str">
        <x:v>3</x:v>
      </x:c>
      <x:c r="T206" s="23" t="str">
        <x:v>0</x:v>
      </x:c>
      <x:c r="U206" s="23" t="str">
        <x:v>0</x:v>
      </x:c>
      <x:c r="V206" s="23" t="str">
        <x:v>0</x:v>
      </x:c>
      <x:c r="W206" s="23" t="str">
        <x:v>0</x:v>
      </x:c>
      <x:c r="X206" s="23" t="str">
        <x:v>0</x:v>
      </x:c>
      <x:c r="Y206" s="21" t="str">
        <x:v>eligible_with_study_context</x:v>
      </x:c>
      <x:c r="Z206" s="21" t="str">
        <x:v>complete</x:v>
      </x:c>
      <x:c r="AA206" s="21" t="str">
        <x:v>Source SCR-01088 supplies 16 evidence, 23 metric, and 3 governed tradeoff rows; use gate: eligible_with_study_context.</x:v>
      </x:c>
    </x:row>
    <x:row r="207" ht="42" customHeight="1">
      <x:c r="A207" s="21" t="str">
        <x:v>STC-SINGLETON-SCR-01093</x:v>
      </x:c>
      <x:c r="B207" s="21" t="str">
        <x:v>OISAC_SCR01093</x:v>
      </x:c>
      <x:c r="C207" s="21" t="str">
        <x:v>RPT-SCR-01093-01</x:v>
      </x:c>
      <x:c r="D207" s="21" t="str">
        <x:v>SCR-01093</x:v>
      </x:c>
      <x:c r="E207" s="21" t="str">
        <x:v>OISAC_SCR01093</x:v>
      </x:c>
      <x:c r="F207" s="21" t="str">
        <x:v>\cite{OISAC_SCR01093}</x:v>
      </x:c>
      <x:c r="G207" s="21" t="str">
        <x:v>primary_source</x:v>
      </x:c>
      <x:c r="H207" s="21" t="str">
        <x:v>none</x:v>
      </x:c>
      <x:c r="I207" s="21" t="str">
        <x:v>standalone_primary_report</x:v>
      </x:c>
      <x:c r="J207" s="21" t="str">
        <x:v>Coexistence of Distributed Sensing and Ultra-Simple Coherent RoF Based Front-Haul for Radio Access Network</x:v>
      </x:c>
      <x:c r="K207" s="21" t="str">
        <x:v>M. Liu; J. Wang; C. Liu; C. Yu; C. Lu</x:v>
      </x:c>
      <x:c r="L207" s="23" t="str">
        <x:v>2025</x:v>
      </x:c>
      <x:c r="M207" s="21" t="str">
        <x:v>Journal of Lightwave Technology</x:v>
      </x:c>
      <x:c r="N207" s="21" t="str">
        <x:v>10.1109/jlt.2025.3555486</x:v>
      </x:c>
      <x:c r="O207" s="21" t="str">
        <x:v>https://doi.org/10.1109/jlt.2025.3555486</x:v>
      </x:c>
      <x:c r="P207" s="21" t="str">
        <x:v>IEEE Journals</x:v>
      </x:c>
      <x:c r="Q207" s="23" t="str">
        <x:v>16</x:v>
      </x:c>
      <x:c r="R207" s="23" t="str">
        <x:v>21</x:v>
      </x:c>
      <x:c r="S207" s="23" t="str">
        <x:v>3</x:v>
      </x:c>
      <x:c r="T207" s="23" t="str">
        <x:v>0</x:v>
      </x:c>
      <x:c r="U207" s="23" t="str">
        <x:v>0</x:v>
      </x:c>
      <x:c r="V207" s="23" t="str">
        <x:v>0</x:v>
      </x:c>
      <x:c r="W207" s="23" t="str">
        <x:v>0</x:v>
      </x:c>
      <x:c r="X207" s="23" t="str">
        <x:v>0</x:v>
      </x:c>
      <x:c r="Y207" s="21" t="str">
        <x:v>eligible_with_study_context</x:v>
      </x:c>
      <x:c r="Z207" s="21" t="str">
        <x:v>complete</x:v>
      </x:c>
      <x:c r="AA207" s="21" t="str">
        <x:v>Source SCR-01093 supplies 16 evidence, 21 metric, and 3 governed tradeoff rows; use gate: eligible_with_study_context.</x:v>
      </x:c>
    </x:row>
    <x:row r="208" ht="42" customHeight="1">
      <x:c r="A208" s="21" t="str">
        <x:v>STC-SINGLETON-SCR-01095</x:v>
      </x:c>
      <x:c r="B208" s="21" t="str">
        <x:v>OISAC_SCR01095</x:v>
      </x:c>
      <x:c r="C208" s="21" t="str">
        <x:v>RPT-SCR-01095-01</x:v>
      </x:c>
      <x:c r="D208" s="21" t="str">
        <x:v>SCR-01095</x:v>
      </x:c>
      <x:c r="E208" s="21" t="str">
        <x:v>OISAC_SCR01095</x:v>
      </x:c>
      <x:c r="F208" s="21" t="str">
        <x:v>\cite{OISAC_SCR01095}</x:v>
      </x:c>
      <x:c r="G208" s="21" t="str">
        <x:v>primary_source</x:v>
      </x:c>
      <x:c r="H208" s="21" t="str">
        <x:v>none</x:v>
      </x:c>
      <x:c r="I208" s="21" t="str">
        <x:v>standalone_primary_report</x:v>
      </x:c>
      <x:c r="J208" s="21" t="str">
        <x:v>Advanced Integration of Sensing and Communication With High DSP Compatibility for SMART Network</x:v>
      </x:c>
      <x:c r="K208" s="21" t="str">
        <x:v>Y. Wu; L. Sun; J. Cai; W. Wang; L. Zhang; R. Xu; G. Xu; G. Ning Liu; Y. Cai; H. Huang; G. Shen</x:v>
      </x:c>
      <x:c r="L208" s="23" t="str">
        <x:v>2025</x:v>
      </x:c>
      <x:c r="M208" s="21" t="str">
        <x:v>IEEE Photonics Technology Letters</x:v>
      </x:c>
      <x:c r="N208" s="21" t="str">
        <x:v>10.1109/lpt.2025.3593343</x:v>
      </x:c>
      <x:c r="O208" s="21" t="str">
        <x:v>https://doi.org/10.1109/lpt.2025.3593343</x:v>
      </x:c>
      <x:c r="P208" s="21" t="str">
        <x:v>IEEE Journals</x:v>
      </x:c>
      <x:c r="Q208" s="23" t="str">
        <x:v>16</x:v>
      </x:c>
      <x:c r="R208" s="23" t="str">
        <x:v>19</x:v>
      </x:c>
      <x:c r="S208" s="23" t="str">
        <x:v>3</x:v>
      </x:c>
      <x:c r="T208" s="23" t="str">
        <x:v>0</x:v>
      </x:c>
      <x:c r="U208" s="23" t="str">
        <x:v>0</x:v>
      </x:c>
      <x:c r="V208" s="23" t="str">
        <x:v>0</x:v>
      </x:c>
      <x:c r="W208" s="23" t="str">
        <x:v>0</x:v>
      </x:c>
      <x:c r="X208" s="23" t="str">
        <x:v>0</x:v>
      </x:c>
      <x:c r="Y208" s="21" t="str">
        <x:v>eligible_with_study_context</x:v>
      </x:c>
      <x:c r="Z208" s="21" t="str">
        <x:v>complete</x:v>
      </x:c>
      <x:c r="AA208" s="21" t="str">
        <x:v>Source SCR-01095 supplies 16 evidence, 19 metric, and 3 governed tradeoff rows; use gate: eligible_with_study_context.</x:v>
      </x:c>
    </x:row>
    <x:row r="209" ht="42" customHeight="1">
      <x:c r="A209" s="21" t="str">
        <x:v>STC-SINGLETON-SCR-01101</x:v>
      </x:c>
      <x:c r="B209" s="21" t="str">
        <x:v>OISAC_SCR01101</x:v>
      </x:c>
      <x:c r="C209" s="21" t="str">
        <x:v>RPT-SCR-01101-01</x:v>
      </x:c>
      <x:c r="D209" s="21" t="str">
        <x:v>SCR-01101</x:v>
      </x:c>
      <x:c r="E209" s="21" t="str">
        <x:v>OISAC_SCR01101</x:v>
      </x:c>
      <x:c r="F209" s="21" t="str">
        <x:v>\cite{OISAC_SCR01101}</x:v>
      </x:c>
      <x:c r="G209" s="21" t="str">
        <x:v>primary_source</x:v>
      </x:c>
      <x:c r="H209" s="21" t="str">
        <x:v>none</x:v>
      </x:c>
      <x:c r="I209" s="21" t="str">
        <x:v>standalone_primary_report</x:v>
      </x:c>
      <x:c r="J209" s="21" t="str">
        <x:v>Integrated Communication and Radar Detection Based-on Single Modulator at W-Band</x:v>
      </x:c>
      <x:c r="K209" s="21" t="str">
        <x:v>D. Du; Y. Wang; Y. Gao</x:v>
      </x:c>
      <x:c r="L209" s="23" t="str">
        <x:v>2024</x:v>
      </x:c>
      <x:c r="M209" s="21" t="str">
        <x:v>2024 7th International Conference on Information Communication and Signal Processing (ICICSP)</x:v>
      </x:c>
      <x:c r="N209" s="21" t="str">
        <x:v>10.1109/icicsp62589.2024.10809149</x:v>
      </x:c>
      <x:c r="O209" s="21" t="str">
        <x:v>https://doi.org/10.1109/icicsp62589.2024.10809149</x:v>
      </x:c>
      <x:c r="P209" s="21" t="str">
        <x:v>IEEE Conferences</x:v>
      </x:c>
      <x:c r="Q209" s="23" t="str">
        <x:v>12</x:v>
      </x:c>
      <x:c r="R209" s="23" t="str">
        <x:v>50</x:v>
      </x:c>
      <x:c r="S209" s="23" t="str">
        <x:v>3</x:v>
      </x:c>
      <x:c r="T209" s="23" t="str">
        <x:v>0</x:v>
      </x:c>
      <x:c r="U209" s="23" t="str">
        <x:v>0</x:v>
      </x:c>
      <x:c r="V209" s="23" t="str">
        <x:v>0</x:v>
      </x:c>
      <x:c r="W209" s="23" t="str">
        <x:v>0</x:v>
      </x:c>
      <x:c r="X209" s="23" t="str">
        <x:v>0</x:v>
      </x:c>
      <x:c r="Y209" s="21" t="str">
        <x:v>eligible_with_study_context</x:v>
      </x:c>
      <x:c r="Z209" s="21" t="str">
        <x:v>complete</x:v>
      </x:c>
      <x:c r="AA209" s="21" t="str">
        <x:v>Source SCR-01101 supplies 12 evidence, 50 metric, and 3 governed tradeoff rows; use gate: eligible_with_study_context.</x:v>
      </x:c>
    </x:row>
    <x:row r="210" ht="42" customHeight="1">
      <x:c r="A210" s="21" t="str">
        <x:v>STC-SINGLETON-SCR-01103</x:v>
      </x:c>
      <x:c r="B210" s="21" t="str">
        <x:v>OISAC_SCR01103</x:v>
      </x:c>
      <x:c r="C210" s="21" t="str">
        <x:v>RPT-SCR-01103-01</x:v>
      </x:c>
      <x:c r="D210" s="21" t="str">
        <x:v>SCR-01103</x:v>
      </x:c>
      <x:c r="E210" s="21" t="str">
        <x:v>OISAC_SCR01103</x:v>
      </x:c>
      <x:c r="F210" s="21" t="str">
        <x:v>\cite{OISAC_SCR01103}</x:v>
      </x:c>
      <x:c r="G210" s="21" t="str">
        <x:v>primary_source</x:v>
      </x:c>
      <x:c r="H210" s="21" t="str">
        <x:v>none</x:v>
      </x:c>
      <x:c r="I210" s="21" t="str">
        <x:v>standalone_primary_report</x:v>
      </x:c>
      <x:c r="J210" s="21" t="str">
        <x:v>Vibration Localization under Unidirectional Single-Channel Transmission Conditions in the DSCM Systems Based on Non-Reciprocity</x:v>
      </x:c>
      <x:c r="K210" s="21" t="str">
        <x:v>B. Yang; Q. Zhuo; H. Yu; J. Tang; S. Gao; Y. Yang</x:v>
      </x:c>
      <x:c r="L210" s="23" t="str">
        <x:v>2025</x:v>
      </x:c>
      <x:c r="M210" s="21" t="str">
        <x:v>2025 Asia Communications and Photonics Conference (ACP)</x:v>
      </x:c>
      <x:c r="N210" s="21" t="str">
        <x:v>10.1109/acp66871.2025.11350955</x:v>
      </x:c>
      <x:c r="O210" s="21" t="str">
        <x:v>https://doi.org/10.1109/acp66871.2025.11350955</x:v>
      </x:c>
      <x:c r="P210" s="21" t="str">
        <x:v>IEEE Conferences</x:v>
      </x:c>
      <x:c r="Q210" s="23" t="str">
        <x:v>12</x:v>
      </x:c>
      <x:c r="R210" s="23" t="str">
        <x:v>25</x:v>
      </x:c>
      <x:c r="S210" s="23" t="str">
        <x:v>2</x:v>
      </x:c>
      <x:c r="T210" s="23" t="str">
        <x:v>0</x:v>
      </x:c>
      <x:c r="U210" s="23" t="str">
        <x:v>0</x:v>
      </x:c>
      <x:c r="V210" s="23" t="str">
        <x:v>0</x:v>
      </x:c>
      <x:c r="W210" s="23" t="str">
        <x:v>0</x:v>
      </x:c>
      <x:c r="X210" s="23" t="str">
        <x:v>0</x:v>
      </x:c>
      <x:c r="Y210" s="21" t="str">
        <x:v>eligible_with_study_context</x:v>
      </x:c>
      <x:c r="Z210" s="21" t="str">
        <x:v>complete</x:v>
      </x:c>
      <x:c r="AA210" s="21" t="str">
        <x:v>Source SCR-01103 supplies 12 evidence, 25 metric, and 2 governed tradeoff rows; use gate: eligible_with_study_context.</x:v>
      </x:c>
    </x:row>
    <x:row r="211" ht="42" customHeight="1">
      <x:c r="A211" s="21" t="str">
        <x:v>STC-SINGLETON-SCR-01105</x:v>
      </x:c>
      <x:c r="B211" s="21" t="str">
        <x:v>OISAC_SCR01105</x:v>
      </x:c>
      <x:c r="C211" s="21" t="str">
        <x:v>RPT-SCR-01105-01</x:v>
      </x:c>
      <x:c r="D211" s="21" t="str">
        <x:v>SCR-01105</x:v>
      </x:c>
      <x:c r="E211" s="21" t="str">
        <x:v>OISAC_SCR01105</x:v>
      </x:c>
      <x:c r="F211" s="21" t="str">
        <x:v>\cite{OISAC_SCR01105}</x:v>
      </x:c>
      <x:c r="G211" s="21" t="str">
        <x:v>primary_source</x:v>
      </x:c>
      <x:c r="H211" s="21" t="str">
        <x:v>none</x:v>
      </x:c>
      <x:c r="I211" s="21" t="str">
        <x:v>standalone_primary_report</x:v>
      </x:c>
      <x:c r="J211" s="21" t="str">
        <x:v>Integrated secure communication and sensing based on simultaneous chaotic encryption and vibration detection with an RE-LFM signal</x:v>
      </x:c>
      <x:c r="K211" s="21" t="str">
        <x:v>T. Wang; H. Liang; X. Li; P. Hou; Y. An; A. Wang; S. Fu; Y. Wang; Y. Qin; Z. Gao</x:v>
      </x:c>
      <x:c r="L211" s="23" t="str">
        <x:v>2026</x:v>
      </x:c>
      <x:c r="M211" s="21" t="str">
        <x:v>Journal of Optical Communications and Networking</x:v>
      </x:c>
      <x:c r="N211" s="21" t="str">
        <x:v>10.1364/jocn.583189</x:v>
      </x:c>
      <x:c r="O211" s="21" t="str">
        <x:v>https://doi.org/10.1364/jocn.583189</x:v>
      </x:c>
      <x:c r="P211" s="21" t="str">
        <x:v>IEEE Journals</x:v>
      </x:c>
      <x:c r="Q211" s="23" t="str">
        <x:v>16</x:v>
      </x:c>
      <x:c r="R211" s="23" t="str">
        <x:v>70</x:v>
      </x:c>
      <x:c r="S211" s="23" t="str">
        <x:v>4</x:v>
      </x:c>
      <x:c r="T211" s="23" t="str">
        <x:v>0</x:v>
      </x:c>
      <x:c r="U211" s="23" t="str">
        <x:v>0</x:v>
      </x:c>
      <x:c r="V211" s="23" t="str">
        <x:v>0</x:v>
      </x:c>
      <x:c r="W211" s="23" t="str">
        <x:v>0</x:v>
      </x:c>
      <x:c r="X211" s="23" t="str">
        <x:v>0</x:v>
      </x:c>
      <x:c r="Y211" s="21" t="str">
        <x:v>eligible_with_study_context</x:v>
      </x:c>
      <x:c r="Z211" s="21" t="str">
        <x:v>complete</x:v>
      </x:c>
      <x:c r="AA211" s="21" t="str">
        <x:v>Source SCR-01105 supplies 16 evidence, 70 metric, and 4 governed tradeoff rows; use gate: eligible_with_study_context.</x:v>
      </x:c>
    </x:row>
    <x:row r="212" ht="42" customHeight="1">
      <x:c r="A212" s="21" t="str">
        <x:v>STC-SINGLETON-SCR-01151</x:v>
      </x:c>
      <x:c r="B212" s="21" t="str">
        <x:v>OISAC_SCR01151</x:v>
      </x:c>
      <x:c r="C212" s="21" t="str">
        <x:v>RPT-SCR-01151-01</x:v>
      </x:c>
      <x:c r="D212" s="21" t="str">
        <x:v>SCR-01151</x:v>
      </x:c>
      <x:c r="E212" s="21" t="str">
        <x:v>OISAC_SCR01151</x:v>
      </x:c>
      <x:c r="F212" s="21" t="str">
        <x:v>\cite{OISAC_SCR01151}</x:v>
      </x:c>
      <x:c r="G212" s="21" t="str">
        <x:v>primary_source</x:v>
      </x:c>
      <x:c r="H212" s="21" t="str">
        <x:v>none</x:v>
      </x:c>
      <x:c r="I212" s="21" t="str">
        <x:v>standalone_primary_report</x:v>
      </x:c>
      <x:c r="J212" s="21" t="str">
        <x:v>Photonic Millimeter-Wave Joint Radar Communication System Using Spectrum-Spreading Phase-Coding</x:v>
      </x:c>
      <x:c r="K212" s="21" t="str">
        <x:v>W. Bai; X. Zou; P. Li; J. Ye; Y. Yang; L. Yan; W. Pan; L. Yan</x:v>
      </x:c>
      <x:c r="L212" s="23" t="str">
        <x:v>2022</x:v>
      </x:c>
      <x:c r="M212" s="21" t="str">
        <x:v>IEEE Transactions on Microwave Theory and Techniques</x:v>
      </x:c>
      <x:c r="N212" s="21" t="str">
        <x:v>10.1109/tmtt.2021.3138069</x:v>
      </x:c>
      <x:c r="O212" s="21" t="str">
        <x:v>https://doi.org/10.1109/tmtt.2021.3138069</x:v>
      </x:c>
      <x:c r="P212" s="21" t="str">
        <x:v>IEEE Journals</x:v>
      </x:c>
      <x:c r="Q212" s="23" t="str">
        <x:v>12</x:v>
      </x:c>
      <x:c r="R212" s="23" t="str">
        <x:v>42</x:v>
      </x:c>
      <x:c r="S212" s="23" t="str">
        <x:v>3</x:v>
      </x:c>
      <x:c r="T212" s="23" t="str">
        <x:v>0</x:v>
      </x:c>
      <x:c r="U212" s="23" t="str">
        <x:v>0</x:v>
      </x:c>
      <x:c r="V212" s="23" t="str">
        <x:v>0</x:v>
      </x:c>
      <x:c r="W212" s="23" t="str">
        <x:v>0</x:v>
      </x:c>
      <x:c r="X212" s="23" t="str">
        <x:v>0</x:v>
      </x:c>
      <x:c r="Y212" s="21" t="str">
        <x:v>eligible_with_study_context</x:v>
      </x:c>
      <x:c r="Z212" s="21" t="str">
        <x:v>complete</x:v>
      </x:c>
      <x:c r="AA212" s="21" t="str">
        <x:v>Source SCR-01151 supplies 12 evidence, 42 metric, and 3 governed tradeoff rows; use gate: eligible_with_study_context.</x:v>
      </x:c>
    </x:row>
    <x:row r="213" ht="42" customHeight="1">
      <x:c r="A213" s="21" t="str">
        <x:v>STC-SINGLETON-SCR-01152</x:v>
      </x:c>
      <x:c r="B213" s="21" t="str">
        <x:v>OISAC_SCR01152</x:v>
      </x:c>
      <x:c r="C213" s="21" t="str">
        <x:v>RPT-SCR-01152-01</x:v>
      </x:c>
      <x:c r="D213" s="21" t="str">
        <x:v>SCR-01152</x:v>
      </x:c>
      <x:c r="E213" s="21" t="str">
        <x:v>OISAC_SCR01152</x:v>
      </x:c>
      <x:c r="F213" s="21" t="str">
        <x:v>\cite{OISAC_SCR01152}</x:v>
      </x:c>
      <x:c r="G213" s="21" t="str">
        <x:v>primary_source</x:v>
      </x:c>
      <x:c r="H213" s="21" t="str">
        <x:v>none</x:v>
      </x:c>
      <x:c r="I213" s="21" t="str">
        <x:v>standalone_primary_report</x:v>
      </x:c>
      <x:c r="J213" s="21" t="str">
        <x:v>On-Chip Photonic MMW Joint Communication and Radar System</x:v>
      </x:c>
      <x:c r="K213" s="21" t="str">
        <x:v>M. Fang; M. Lei; L. Tian; J. Zhang; B. Hua; Y. Cai; X. Wei; J. Yu; M. Zhu</x:v>
      </x:c>
      <x:c r="L213" s="23" t="str">
        <x:v>2023</x:v>
      </x:c>
      <x:c r="M213" s="21" t="str">
        <x:v>2023 International Topical Meeting on Microwave Photonics (MWP)</x:v>
      </x:c>
      <x:c r="N213" s="21" t="str">
        <x:v>10.1109/mwp58203.2023.10416619</x:v>
      </x:c>
      <x:c r="O213" s="21" t="str">
        <x:v>https://doi.org/10.1109/mwp58203.2023.10416619</x:v>
      </x:c>
      <x:c r="P213" s="21" t="str">
        <x:v>IEEE Conferences</x:v>
      </x:c>
      <x:c r="Q213" s="23" t="str">
        <x:v>12</x:v>
      </x:c>
      <x:c r="R213" s="23" t="str">
        <x:v>38</x:v>
      </x:c>
      <x:c r="S213" s="23" t="str">
        <x:v>2</x:v>
      </x:c>
      <x:c r="T213" s="23" t="str">
        <x:v>0</x:v>
      </x:c>
      <x:c r="U213" s="23" t="str">
        <x:v>0</x:v>
      </x:c>
      <x:c r="V213" s="23" t="str">
        <x:v>0</x:v>
      </x:c>
      <x:c r="W213" s="23" t="str">
        <x:v>0</x:v>
      </x:c>
      <x:c r="X213" s="23" t="str">
        <x:v>0</x:v>
      </x:c>
      <x:c r="Y213" s="21" t="str">
        <x:v>eligible_with_study_context</x:v>
      </x:c>
      <x:c r="Z213" s="21" t="str">
        <x:v>complete</x:v>
      </x:c>
      <x:c r="AA213" s="21" t="str">
        <x:v>Source SCR-01152 supplies 12 evidence, 38 metric, and 2 governed tradeoff rows; use gate: eligible_with_study_context.</x:v>
      </x:c>
    </x:row>
    <x:row r="214" ht="42" customHeight="1">
      <x:c r="A214" s="21" t="str">
        <x:v>STC-SINGLETON-SCR-01153</x:v>
      </x:c>
      <x:c r="B214" s="21" t="str">
        <x:v>OISAC_SCR01153</x:v>
      </x:c>
      <x:c r="C214" s="21" t="str">
        <x:v>RPT-SCR-01153-01</x:v>
      </x:c>
      <x:c r="D214" s="21" t="str">
        <x:v>SCR-01153</x:v>
      </x:c>
      <x:c r="E214" s="21" t="str">
        <x:v>OISAC_SCR01153</x:v>
      </x:c>
      <x:c r="F214" s="21" t="str">
        <x:v>\cite{OISAC_SCR01153}</x:v>
      </x:c>
      <x:c r="G214" s="21" t="str">
        <x:v>primary_source</x:v>
      </x:c>
      <x:c r="H214" s="21" t="str">
        <x:v>none</x:v>
      </x:c>
      <x:c r="I214" s="21" t="str">
        <x:v>standalone_primary_report</x:v>
      </x:c>
      <x:c r="J214" s="21" t="str">
        <x:v>Photonic-Assisted Joint Radar and Communication System Using Overlapped Spectrum for High-Resolution Ranging and High-Speed Data Transmission</x:v>
      </x:c>
      <x:c r="K214" s="21" t="str">
        <x:v>J. Chen; H. Huang; R. Zheng; B. Mo; Z. Yi; J. Wo; J. Zhang; X. Wang; X. Feng; J. Yao</x:v>
      </x:c>
      <x:c r="L214" s="23" t="str">
        <x:v>2025</x:v>
      </x:c>
      <x:c r="M214" s="21" t="str">
        <x:v>IEEE Transactions on Microwave Theory and Techniques</x:v>
      </x:c>
      <x:c r="N214" s="21" t="str">
        <x:v>10.1109/tmtt.2025.3556855</x:v>
      </x:c>
      <x:c r="O214" s="21" t="str">
        <x:v>https://doi.org/10.1109/tmtt.2025.3556855</x:v>
      </x:c>
      <x:c r="P214" s="21" t="str">
        <x:v>IEEE Journals</x:v>
      </x:c>
      <x:c r="Q214" s="23" t="str">
        <x:v>13</x:v>
      </x:c>
      <x:c r="R214" s="23" t="str">
        <x:v>42</x:v>
      </x:c>
      <x:c r="S214" s="23" t="str">
        <x:v>3</x:v>
      </x:c>
      <x:c r="T214" s="23" t="str">
        <x:v>0</x:v>
      </x:c>
      <x:c r="U214" s="23" t="str">
        <x:v>0</x:v>
      </x:c>
      <x:c r="V214" s="23" t="str">
        <x:v>0</x:v>
      </x:c>
      <x:c r="W214" s="23" t="str">
        <x:v>0</x:v>
      </x:c>
      <x:c r="X214" s="23" t="str">
        <x:v>0</x:v>
      </x:c>
      <x:c r="Y214" s="21" t="str">
        <x:v>eligible_with_study_context</x:v>
      </x:c>
      <x:c r="Z214" s="21" t="str">
        <x:v>complete</x:v>
      </x:c>
      <x:c r="AA214" s="21" t="str">
        <x:v>Source SCR-01153 supplies 13 evidence, 42 metric, and 3 governed tradeoff rows; use gate: eligible_with_study_context.</x:v>
      </x:c>
    </x:row>
    <x:row r="215" ht="42" customHeight="1">
      <x:c r="A215" s="21" t="str">
        <x:v>STC-SINGLETON-SCR-01165</x:v>
      </x:c>
      <x:c r="B215" s="21" t="str">
        <x:v>OISAC_SCR01165</x:v>
      </x:c>
      <x:c r="C215" s="21" t="str">
        <x:v>RPT-SCR-01165-01</x:v>
      </x:c>
      <x:c r="D215" s="21" t="str">
        <x:v>SCR-01165</x:v>
      </x:c>
      <x:c r="E215" s="21" t="str">
        <x:v>OISAC_SCR01165</x:v>
      </x:c>
      <x:c r="F215" s="21" t="str">
        <x:v>\cite{OISAC_SCR01165}</x:v>
      </x:c>
      <x:c r="G215" s="21" t="str">
        <x:v>primary_source</x:v>
      </x:c>
      <x:c r="H215" s="21" t="str">
        <x:v>none</x:v>
      </x:c>
      <x:c r="I215" s="21" t="str">
        <x:v>standalone_primary_report</x:v>
      </x:c>
      <x:c r="J215" s="21" t="str">
        <x:v>Joint radar and communication system based on a chaotic optoelectronic oscillator</x:v>
      </x:c>
      <x:c r="K215" s="21" t="str">
        <x:v>Bo Yang, JinShuo Sun, Hao Chi, KuiWen Xu, ShuNa Yang</x:v>
      </x:c>
      <x:c r="L215" s="23" t="str">
        <x:v>2024</x:v>
      </x:c>
      <x:c r="M215" s="21" t="str">
        <x:v>Optics Communications</x:v>
      </x:c>
      <x:c r="N215" s="21" t="str">
        <x:v>10.1016/j.optcom.2023.130123</x:v>
      </x:c>
      <x:c r="O215" s="21" t="str">
        <x:v>https://doi.org/10.1016/j.optcom.2023.130123</x:v>
      </x:c>
      <x:c r="P215" s="21" t="str">
        <x:v>Article</x:v>
      </x:c>
      <x:c r="Q215" s="23" t="str">
        <x:v>11</x:v>
      </x:c>
      <x:c r="R215" s="23" t="str">
        <x:v>34</x:v>
      </x:c>
      <x:c r="S215" s="23" t="str">
        <x:v>2</x:v>
      </x:c>
      <x:c r="T215" s="23" t="str">
        <x:v>0</x:v>
      </x:c>
      <x:c r="U215" s="23" t="str">
        <x:v>0</x:v>
      </x:c>
      <x:c r="V215" s="23" t="str">
        <x:v>0</x:v>
      </x:c>
      <x:c r="W215" s="23" t="str">
        <x:v>0</x:v>
      </x:c>
      <x:c r="X215" s="23" t="str">
        <x:v>0</x:v>
      </x:c>
      <x:c r="Y215" s="21" t="str">
        <x:v>eligible_with_study_context</x:v>
      </x:c>
      <x:c r="Z215" s="21" t="str">
        <x:v>complete</x:v>
      </x:c>
      <x:c r="AA215" s="21" t="str">
        <x:v>Source SCR-01165 supplies 11 evidence, 34 metric, and 2 governed tradeoff rows; use gate: eligible_with_study_context.</x:v>
      </x:c>
    </x:row>
    <x:row r="216" ht="42" customHeight="1">
      <x:c r="A216" s="21" t="str">
        <x:v>STC-SINGLETON-SCR-01180</x:v>
      </x:c>
      <x:c r="B216" s="21" t="str">
        <x:v>OISAC_SCR01180</x:v>
      </x:c>
      <x:c r="C216" s="21" t="str">
        <x:v>RPT-SCR-01180-01</x:v>
      </x:c>
      <x:c r="D216" s="21" t="str">
        <x:v>SCR-01180</x:v>
      </x:c>
      <x:c r="E216" s="21" t="str">
        <x:v>OISAC_SCR01180</x:v>
      </x:c>
      <x:c r="F216" s="21" t="str">
        <x:v>\cite{OISAC_SCR01180}</x:v>
      </x:c>
      <x:c r="G216" s="21" t="str">
        <x:v>primary_source</x:v>
      </x:c>
      <x:c r="H216" s="21" t="str">
        <x:v>none</x:v>
      </x:c>
      <x:c r="I216" s="21" t="str">
        <x:v>standalone_primary_report</x:v>
      </x:c>
      <x:c r="J216" s="21" t="str">
        <x:v>Optical fiber communication and distributed multi-parameter sensing integrated network for smart power grid applications</x:v>
      </x:c>
      <x:c r="K216" s="21" t="str">
        <x:v>Xiaohui TangYanyang LeiJinglin SuiMeng XiaYaxi YanDexin BaYongkang Dong</x:v>
      </x:c>
      <x:c r="L216" s="23" t="str">
        <x:v>2026</x:v>
      </x:c>
      <x:c r="M216" s="21" t="str">
        <x:v>Science China Information Sciences</x:v>
      </x:c>
      <x:c r="N216" s="21" t="str">
        <x:v>10.1007/s11432-025-4916-4</x:v>
      </x:c>
      <x:c r="O216" s="21" t="str">
        <x:v>https://doi.org/10.1007/s11432-025-4916-4</x:v>
      </x:c>
      <x:c r="P216" s="21" t="str">
        <x:v>Article</x:v>
      </x:c>
      <x:c r="Q216" s="23" t="str">
        <x:v>14</x:v>
      </x:c>
      <x:c r="R216" s="23" t="str">
        <x:v>57</x:v>
      </x:c>
      <x:c r="S216" s="23" t="str">
        <x:v>3</x:v>
      </x:c>
      <x:c r="T216" s="23" t="str">
        <x:v>0</x:v>
      </x:c>
      <x:c r="U216" s="23" t="str">
        <x:v>0</x:v>
      </x:c>
      <x:c r="V216" s="23" t="str">
        <x:v>0</x:v>
      </x:c>
      <x:c r="W216" s="23" t="str">
        <x:v>0</x:v>
      </x:c>
      <x:c r="X216" s="23" t="str">
        <x:v>0</x:v>
      </x:c>
      <x:c r="Y216" s="21" t="str">
        <x:v>eligible_with_study_context</x:v>
      </x:c>
      <x:c r="Z216" s="21" t="str">
        <x:v>complete</x:v>
      </x:c>
      <x:c r="AA216" s="21" t="str">
        <x:v>Source SCR-01180 supplies 14 evidence, 57 metric, and 3 governed tradeoff rows; use gate: eligible_with_study_context.</x:v>
      </x:c>
    </x:row>
    <x:row r="217" ht="42" customHeight="1">
      <x:c r="A217" s="21" t="str">
        <x:v>STC-SINGLETON-SCR-01188</x:v>
      </x:c>
      <x:c r="B217" s="21" t="str">
        <x:v>OISAC_SCR01188</x:v>
      </x:c>
      <x:c r="C217" s="21" t="str">
        <x:v>RPT-SCR-01188-01</x:v>
      </x:c>
      <x:c r="D217" s="21" t="str">
        <x:v>SCR-01188</x:v>
      </x:c>
      <x:c r="E217" s="21" t="str">
        <x:v>OISAC_SCR01188</x:v>
      </x:c>
      <x:c r="F217" s="21" t="str">
        <x:v>\cite{OISAC_SCR01188}</x:v>
      </x:c>
      <x:c r="G217" s="21" t="str">
        <x:v>primary_source</x:v>
      </x:c>
      <x:c r="H217" s="21" t="str">
        <x:v>none</x:v>
      </x:c>
      <x:c r="I217" s="21" t="str">
        <x:v>standalone_primary_report</x:v>
      </x:c>
      <x:c r="J217" s="21" t="str">
        <x:v>Seamless integration of distributed acoustic sensing and passive optical networks for human intrusion monitoring</x:v>
      </x:c>
      <x:c r="K217" s="21" t="str">
        <x:v>Rong TangYunjiang RaoHuijuan WuYong GengQiang JingLang XiePeng HeZhaoyu LiShengtao ZouTianyu HuaSijin ZhengYu Wu</x:v>
      </x:c>
      <x:c r="L217" s="23" t="str">
        <x:v>2026</x:v>
      </x:c>
      <x:c r="M217" s="21" t="str">
        <x:v>Communications Engineering</x:v>
      </x:c>
      <x:c r="N217" s="21" t="str">
        <x:v>10.1038/s44172-026-00662-z</x:v>
      </x:c>
      <x:c r="O217" s="21" t="str">
        <x:v>https://doi.org/10.1038/s44172-026-00662-z</x:v>
      </x:c>
      <x:c r="P217" s="21" t="str">
        <x:v>Article</x:v>
      </x:c>
      <x:c r="Q217" s="23" t="str">
        <x:v>15</x:v>
      </x:c>
      <x:c r="R217" s="23" t="str">
        <x:v>51</x:v>
      </x:c>
      <x:c r="S217" s="23" t="str">
        <x:v>4</x:v>
      </x:c>
      <x:c r="T217" s="23" t="str">
        <x:v>0</x:v>
      </x:c>
      <x:c r="U217" s="23" t="str">
        <x:v>0</x:v>
      </x:c>
      <x:c r="V217" s="23" t="str">
        <x:v>0</x:v>
      </x:c>
      <x:c r="W217" s="23" t="str">
        <x:v>0</x:v>
      </x:c>
      <x:c r="X217" s="23" t="str">
        <x:v>0</x:v>
      </x:c>
      <x:c r="Y217" s="21" t="str">
        <x:v>eligible_with_study_context</x:v>
      </x:c>
      <x:c r="Z217" s="21" t="str">
        <x:v>complete</x:v>
      </x:c>
      <x:c r="AA217" s="21" t="str">
        <x:v>Source SCR-01188 supplies 15 evidence, 51 metric, and 4 governed tradeoff rows; use gate: eligible_with_study_context.</x:v>
      </x:c>
    </x:row>
    <x:row r="218" ht="42" customHeight="1">
      <x:c r="A218" s="21" t="str">
        <x:v>STC-SINGLETON-SCR-01229</x:v>
      </x:c>
      <x:c r="B218" s="21" t="str">
        <x:v>OISAC_SCR01229</x:v>
      </x:c>
      <x:c r="C218" s="21" t="str">
        <x:v>RPT-SCR-01229-01</x:v>
      </x:c>
      <x:c r="D218" s="21" t="str">
        <x:v>SCR-01229</x:v>
      </x:c>
      <x:c r="E218" s="21" t="str">
        <x:v>OISAC_SCR01229</x:v>
      </x:c>
      <x:c r="F218" s="21" t="str">
        <x:v>\cite{OISAC_SCR01229}</x:v>
      </x:c>
      <x:c r="G218" s="21" t="str">
        <x:v>primary_source</x:v>
      </x:c>
      <x:c r="H218" s="21" t="str">
        <x:v>none</x:v>
      </x:c>
      <x:c r="I218" s="21" t="str">
        <x:v>standalone_primary_report</x:v>
      </x:c>
      <x:c r="J218" s="21" t="str">
        <x:v>Photonic generation of frequency agile LFM signals for ISAC systems</x:v>
      </x:c>
      <x:c r="K218" s="21" t="str">
        <x:v>Yixiao ZhouShanghong ZhaoXuan LiGuodong Wang</x:v>
      </x:c>
      <x:c r="L218" s="23" t="str">
        <x:v>2024</x:v>
      </x:c>
      <x:c r="M218" s="21" t="str">
        <x:v>Optical and Quantum Electronics</x:v>
      </x:c>
      <x:c r="N218" s="21" t="str">
        <x:v>10.1007/s11082-024-07751-3</x:v>
      </x:c>
      <x:c r="O218" s="21" t="str">
        <x:v>https://doi.org/10.1007/s11082-024-07751-3</x:v>
      </x:c>
      <x:c r="P218" s="21" t="str">
        <x:v>Article</x:v>
      </x:c>
      <x:c r="Q218" s="23" t="str">
        <x:v>14</x:v>
      </x:c>
      <x:c r="R218" s="23" t="str">
        <x:v>8</x:v>
      </x:c>
      <x:c r="S218" s="23" t="str">
        <x:v>0</x:v>
      </x:c>
      <x:c r="T218" s="23" t="str">
        <x:v>0</x:v>
      </x:c>
      <x:c r="U218" s="23" t="str">
        <x:v>0</x:v>
      </x:c>
      <x:c r="V218" s="23" t="str">
        <x:v>0</x:v>
      </x:c>
      <x:c r="W218" s="23" t="str">
        <x:v>0</x:v>
      </x:c>
      <x:c r="X218" s="23" t="str">
        <x:v>0</x:v>
      </x:c>
      <x:c r="Y218" s="21" t="str">
        <x:v>eligible_with_study_context</x:v>
      </x:c>
      <x:c r="Z218" s="21" t="str">
        <x:v>complete</x:v>
      </x:c>
      <x:c r="AA218" s="21" t="str">
        <x:v>Source SCR-01229 supplies 14 evidence, 8 metric, and 0 governed tradeoff rows; use gate: eligible_with_study_context.</x:v>
      </x:c>
    </x:row>
    <x:row r="219" ht="42" customHeight="1">
      <x:c r="A219" s="21" t="str">
        <x:v>STC-SUBCARRIER-CHIRP-DBAND-2025</x:v>
      </x:c>
      <x:c r="B219" s="21" t="str">
        <x:v>OISAC_SCR00981</x:v>
      </x:c>
      <x:c r="C219" s="21" t="str">
        <x:v>RPT-SCR-00981-01</x:v>
      </x:c>
      <x:c r="D219" s="21" t="str">
        <x:v>SCR-00981</x:v>
      </x:c>
      <x:c r="E219" s="21" t="str">
        <x:v>OISAC_SCR00981</x:v>
      </x:c>
      <x:c r="F219" s="21" t="str">
        <x:v>\cite{OISAC_SCR00981}</x:v>
      </x:c>
      <x:c r="G219" s="21" t="str">
        <x:v>primary_source</x:v>
      </x:c>
      <x:c r="H219" s="21" t="str">
        <x:v>RPT02</x:v>
      </x:c>
      <x:c r="I219" s="21" t="str">
        <x:v>journal_version</x:v>
      </x:c>
      <x:c r="J219" s="21" t="str">
        <x:v>Photonics-Aided THz Integrated Sensing and Communication System Based on a Subcarrier-Chirp Inter-Embedded Waveform</x:v>
      </x:c>
      <x:c r="K219" s="21" t="str">
        <x:v>J. Zhang; M. Lei; M. Zhu; Q. Zhou; B. Hua; Y. Cai; H. Li; J. Zhang; Z. Liang; Y. Li; X. Chen; J. Ding; Q. Zhong; S. Zhu; J. Yu</x:v>
      </x:c>
      <x:c r="L219" s="23" t="str">
        <x:v>2025</x:v>
      </x:c>
      <x:c r="M219" s="21" t="str">
        <x:v>IEEE Open Journal of the Communications Society</x:v>
      </x:c>
      <x:c r="N219" s="21" t="str">
        <x:v>10.1109/ojcoms.2025.3545896</x:v>
      </x:c>
      <x:c r="O219" s="21" t="str">
        <x:v>https://doi.org/10.1109/ojcoms.2025.3545896</x:v>
      </x:c>
      <x:c r="P219" s="21" t="str">
        <x:v>IEEE Journals</x:v>
      </x:c>
      <x:c r="Q219" s="23" t="str">
        <x:v>14</x:v>
      </x:c>
      <x:c r="R219" s="23" t="str">
        <x:v>27</x:v>
      </x:c>
      <x:c r="S219" s="23" t="str">
        <x:v>4</x:v>
      </x:c>
      <x:c r="T219" s="23" t="str">
        <x:v>0</x:v>
      </x:c>
      <x:c r="U219" s="23" t="str">
        <x:v>0</x:v>
      </x:c>
      <x:c r="V219" s="23" t="str">
        <x:v>0</x:v>
      </x:c>
      <x:c r="W219" s="23" t="str">
        <x:v>0</x:v>
      </x:c>
      <x:c r="X219" s="23" t="str">
        <x:v>0</x:v>
      </x:c>
      <x:c r="Y219" s="21" t="str">
        <x:v>eligible_with_study_context</x:v>
      </x:c>
      <x:c r="Z219" s="21" t="str">
        <x:v>complete</x:v>
      </x:c>
      <x:c r="AA219" s="21" t="str">
        <x:v>Source SCR-00981 supplies 14 evidence, 27 metric, and 4 governed tradeoff rows; use gate: eligible_with_study_context.</x:v>
      </x:c>
    </x:row>
    <x:row r="220" ht="42" customHeight="1">
      <x:c r="A220" s="21" t="str">
        <x:v>STC-SUBCARRIER-CHIRP-DBAND-2025</x:v>
      </x:c>
      <x:c r="B220" s="21" t="str">
        <x:v>OISAC_SCR00981</x:v>
      </x:c>
      <x:c r="C220" s="21" t="str">
        <x:v>RPT-SCR-01017-01</x:v>
      </x:c>
      <x:c r="D220" s="21" t="str">
        <x:v>SCR-01017</x:v>
      </x:c>
      <x:c r="E220" s="21" t="str">
        <x:v>OISAC_SCR01017</x:v>
      </x:c>
      <x:c r="F220" s="21" t="str">
        <x:v>\cite{OISAC_SCR01017}</x:v>
      </x:c>
      <x:c r="G220" s="21" t="str">
        <x:v>supplementary_source</x:v>
      </x:c>
      <x:c r="H220" s="21" t="str">
        <x:v>RPT02</x:v>
      </x:c>
      <x:c r="I220" s="21" t="str">
        <x:v>conference_version</x:v>
      </x:c>
      <x:c r="J220" s="21" t="str">
        <x:v>A Photonics-Assisted D-Band ISAC System Based on A Time-Frequency Efficient Waveform</x:v>
      </x:c>
      <x:c r="K220" s="21" t="str">
        <x:v>J. Zhang; M. Lei; H. Li; Q. Zhou; Q. Zhong; J. Zhang; Z. Zheng; B. Hua; Y. Cai; X. Chen; J. Yu; M. Zhu</x:v>
      </x:c>
      <x:c r="L220" s="23" t="str">
        <x:v>2024</x:v>
      </x:c>
      <x:c r="M220" s="21" t="str">
        <x:v>2024 Asia Communications and Photonics Conference (ACP) and International Conference on Information Photonics and Optical Communications (IPOC)</x:v>
      </x:c>
      <x:c r="N220" s="21" t="str">
        <x:v>10.1109/acp/ipoc63121.2024.10809716</x:v>
      </x:c>
      <x:c r="O220" s="21" t="str">
        <x:v>https://doi.org/10.1109/acp/ipoc63121.2024.10809716</x:v>
      </x:c>
      <x:c r="P220" s="21" t="str">
        <x:v>IEEE Conferences</x:v>
      </x:c>
      <x:c r="Q220" s="23" t="str">
        <x:v>4</x:v>
      </x:c>
      <x:c r="R220" s="23" t="str">
        <x:v>8</x:v>
      </x:c>
      <x:c r="S220" s="23" t="str">
        <x:v>0</x:v>
      </x:c>
      <x:c r="T220" s="23" t="str">
        <x:v>0</x:v>
      </x:c>
      <x:c r="U220" s="23" t="str">
        <x:v>0</x:v>
      </x:c>
      <x:c r="V220" s="23" t="str">
        <x:v>0</x:v>
      </x:c>
      <x:c r="W220" s="23" t="str">
        <x:v>0</x:v>
      </x:c>
      <x:c r="X220" s="23" t="str">
        <x:v>0</x:v>
      </x:c>
      <x:c r="Y220" s="21" t="str">
        <x:v>eligible_with_study_context</x:v>
      </x:c>
      <x:c r="Z220" s="21" t="str">
        <x:v>complete</x:v>
      </x:c>
      <x:c r="AA220" s="21" t="str">
        <x:v>Source SCR-01017 supplies 4 evidence, 8 metric, and 0 governed tradeoff rows; use gate: eligible_with_study_context.</x:v>
      </x:c>
    </x:row>
    <x:row r="221" ht="42" customHeight="1">
      <x:c r="A221" s="21" t="str">
        <x:v>STC-SUBMARINE-CABLE-DAS-HUIZHOU-2022-2026</x:v>
      </x:c>
      <x:c r="B221" s="21" t="str">
        <x:v>OISAC_SCR00957</x:v>
      </x:c>
      <x:c r="C221" s="21" t="str">
        <x:v>RPT-SCR-00957-01</x:v>
      </x:c>
      <x:c r="D221" s="21" t="str">
        <x:v>SCR-00957</x:v>
      </x:c>
      <x:c r="E221" s="21" t="str">
        <x:v>OISAC_SCR00957</x:v>
      </x:c>
      <x:c r="F221" s="21" t="str">
        <x:v>\cite{OISAC_SCR00957}</x:v>
      </x:c>
      <x:c r="G221" s="21" t="str">
        <x:v>primary_source</x:v>
      </x:c>
      <x:c r="H221" s="21" t="str">
        <x:v>RPT02</x:v>
      </x:c>
      <x:c r="I221" s="21" t="str">
        <x:v>companion_report</x:v>
      </x:c>
      <x:c r="J221" s="21" t="str">
        <x:v>Photonic Integrated Sensing and Communication System Harnessing Submarine Fiber Optic Cables for Coastal Event Monitoring</x:v>
      </x:c>
      <x:c r="K221" s="21" t="str">
        <x:v>S. Chen; K. Zhu; J. Han; Q. Sui; Z. Li</x:v>
      </x:c>
      <x:c r="L221" s="23" t="str">
        <x:v>2022</x:v>
      </x:c>
      <x:c r="M221" s="21" t="str">
        <x:v>IEEE Communications Magazine</x:v>
      </x:c>
      <x:c r="N221" s="21" t="str">
        <x:v>10.1109/mcom.002.2200191</x:v>
      </x:c>
      <x:c r="O221" s="21" t="str">
        <x:v>https://doi.org/10.1109/mcom.002.2200191</x:v>
      </x:c>
      <x:c r="P221" s="21" t="str">
        <x:v>IEEE Magazines</x:v>
      </x:c>
      <x:c r="Q221" s="23" t="str">
        <x:v>17</x:v>
      </x:c>
      <x:c r="R221" s="23" t="str">
        <x:v>29</x:v>
      </x:c>
      <x:c r="S221" s="23" t="str">
        <x:v>3</x:v>
      </x:c>
      <x:c r="T221" s="23" t="str">
        <x:v>0</x:v>
      </x:c>
      <x:c r="U221" s="23" t="str">
        <x:v>0</x:v>
      </x:c>
      <x:c r="V221" s="23" t="str">
        <x:v>0</x:v>
      </x:c>
      <x:c r="W221" s="23" t="str">
        <x:v>0</x:v>
      </x:c>
      <x:c r="X221" s="23" t="str">
        <x:v>0</x:v>
      </x:c>
      <x:c r="Y221" s="21" t="str">
        <x:v>eligible_with_study_context</x:v>
      </x:c>
      <x:c r="Z221" s="21" t="str">
        <x:v>complete</x:v>
      </x:c>
      <x:c r="AA221" s="21" t="str">
        <x:v>Source SCR-00957 supplies 17 evidence, 29 metric, and 3 governed tradeoff rows; use gate: eligible_with_study_context.</x:v>
      </x:c>
    </x:row>
    <x:row r="222" ht="42" customHeight="1">
      <x:c r="A222" s="21" t="str">
        <x:v>STC-TUNABLE-LASER-THZ-FMCW-2025-2026</x:v>
      </x:c>
      <x:c r="B222" s="21" t="str">
        <x:v>OISAC_SCR00083</x:v>
      </x:c>
      <x:c r="C222" s="21" t="str">
        <x:v>RPT-SCR-00083-01</x:v>
      </x:c>
      <x:c r="D222" s="21" t="str">
        <x:v>SCR-00083</x:v>
      </x:c>
      <x:c r="E222" s="21" t="str">
        <x:v>OISAC_SCR00083</x:v>
      </x:c>
      <x:c r="F222" s="21" t="str">
        <x:v>\cite{OISAC_SCR00083}</x:v>
      </x:c>
      <x:c r="G222" s="21" t="str">
        <x:v>primary_source</x:v>
      </x:c>
      <x:c r="H222" s="21" t="str">
        <x:v>RPT02</x:v>
      </x:c>
      <x:c r="I222" s="21" t="str">
        <x:v>canonical_journal_report</x:v>
      </x:c>
      <x:c r="J222" s="21" t="str">
        <x:v>Terahertz ISAC with Simultaneous Fast-Swept FMCW Radar and High-Speed Wireless Link Using a Single UTC-PD</x:v>
      </x:c>
      <x:c r="K222" s="21" t="str">
        <x:v>Kaide R.; Kamiura Y.; Ye S.; Wang Y.; Mikami Y.; Ueda Y.; Kato K.</x:v>
      </x:c>
      <x:c r="L222" s="23" t="str">
        <x:v>2026</x:v>
      </x:c>
      <x:c r="M222" s="21" t="str">
        <x:v>Electronics (Switzerland)</x:v>
      </x:c>
      <x:c r="N222" s="21" t="str">
        <x:v>10.3390/electronics15081608</x:v>
      </x:c>
      <x:c r="O222" s="21" t="str">
        <x:v>https://doi.org/10.3390/electronics15081608</x:v>
      </x:c>
      <x:c r="P222" s="21" t="str">
        <x:v>Article</x:v>
      </x:c>
      <x:c r="Q222" s="23" t="str">
        <x:v>40</x:v>
      </x:c>
      <x:c r="R222" s="23" t="str">
        <x:v>34</x:v>
      </x:c>
      <x:c r="S222" s="23" t="str">
        <x:v>3</x:v>
      </x:c>
      <x:c r="T222" s="23" t="str">
        <x:v>16</x:v>
      </x:c>
      <x:c r="U222" s="23" t="str">
        <x:v>40</x:v>
      </x:c>
      <x:c r="V222" s="23" t="str">
        <x:v>40</x:v>
      </x:c>
      <x:c r="W222" s="23" t="str">
        <x:v>0</x:v>
      </x:c>
      <x:c r="X222" s="23" t="str">
        <x:v>0</x:v>
      </x:c>
      <x:c r="Y222" s="21" t="str">
        <x:v>report_specific_guardrail</x:v>
      </x:c>
      <x:c r="Z222" s="21" t="str">
        <x:v>complete</x:v>
      </x:c>
      <x:c r="AA222" s="21" t="str">
        <x:v>Source SCR-00083 supplies 40 evidence, 34 metric, and 3 governed tradeoff rows; use gate: report_specific_guardrail.</x:v>
      </x:c>
    </x:row>
    <x:row r="223" ht="42" customHeight="1">
      <x:c r="A223" s="21" t="str">
        <x:v>STC-TUNABLE-LASER-THZ-FMCW-2025-2026</x:v>
      </x:c>
      <x:c r="B223" s="21" t="str">
        <x:v>OISAC_SCR00083</x:v>
      </x:c>
      <x:c r="C223" s="21" t="str">
        <x:v>RPT-SCR-00553-01</x:v>
      </x:c>
      <x:c r="D223" s="21" t="str">
        <x:v>SCR-00553</x:v>
      </x:c>
      <x:c r="E223" s="21" t="str">
        <x:v>OISAC_SCR00553</x:v>
      </x:c>
      <x:c r="F223" s="21" t="str">
        <x:v>\cite{OISAC_SCR00553}</x:v>
      </x:c>
      <x:c r="G223" s="21" t="str">
        <x:v>supplementary_source</x:v>
      </x:c>
      <x:c r="H223" s="21" t="str">
        <x:v>RPT02</x:v>
      </x:c>
      <x:c r="I223" s="21" t="str">
        <x:v>conference_companion_report</x:v>
      </x:c>
      <x:c r="J223" s="21" t="str">
        <x:v>Integrated Sensing and Communication in the Terahertz Band Enabled by Photomixing Using a High-Speed Wavelength Tunable Laser</x:v>
      </x:c>
      <x:c r="K223" s="21" t="str">
        <x:v>Kaide R.; Ye S.; Wang Y.; Mikami Y.; Ueda Y.; Kato K.</x:v>
      </x:c>
      <x:c r="L223" s="23" t="str">
        <x:v>2025</x:v>
      </x:c>
      <x:c r="M223" s="21" t="str">
        <x:v>2025 International Symposium on Antennas and Propagation, ISAP 2025</x:v>
      </x:c>
      <x:c r="N223" s="21" t="str">
        <x:v>10.23919/isap63122.2025.11361979</x:v>
      </x:c>
      <x:c r="O223" s="21" t="str">
        <x:v>https://doi.org/10.23919/isap63122.2025.11361979</x:v>
      </x:c>
      <x:c r="P223" s="21" t="str">
        <x:v>Conference paper</x:v>
      </x:c>
      <x:c r="Q223" s="23" t="str">
        <x:v>19</x:v>
      </x:c>
      <x:c r="R223" s="23" t="str">
        <x:v>11</x:v>
      </x:c>
      <x:c r="S223" s="23" t="str">
        <x:v>1</x:v>
      </x:c>
      <x:c r="T223" s="23" t="str">
        <x:v>7</x:v>
      </x:c>
      <x:c r="U223" s="23" t="str">
        <x:v>19</x:v>
      </x:c>
      <x:c r="V223" s="23" t="str">
        <x:v>19</x:v>
      </x:c>
      <x:c r="W223" s="23" t="str">
        <x:v>0</x:v>
      </x:c>
      <x:c r="X223" s="23" t="str">
        <x:v>0</x:v>
      </x:c>
      <x:c r="Y223" s="21" t="str">
        <x:v>report_specific_guardrail</x:v>
      </x:c>
      <x:c r="Z223" s="21" t="str">
        <x:v>complete</x:v>
      </x:c>
      <x:c r="AA223" s="21" t="str">
        <x:v>Source SCR-00553 supplies 19 evidence, 11 metric, and 1 governed tradeoff rows; use gate: report_specific_guardrail.</x:v>
      </x:c>
    </x:row>
    <x:row r="224" ht="42" customHeight="1">
      <x:c r="A224" s="21" t="str">
        <x:v>STC-WBAND-POLARIZATION-JRC-2023-2025</x:v>
      </x:c>
      <x:c r="B224" s="21" t="str">
        <x:v>OISAC_SCR01075</x:v>
      </x:c>
      <x:c r="C224" s="21" t="str">
        <x:v>RPT-SCR-01075-01</x:v>
      </x:c>
      <x:c r="D224" s="21" t="str">
        <x:v>SCR-01075</x:v>
      </x:c>
      <x:c r="E224" s="21" t="str">
        <x:v>OISAC_SCR01075</x:v>
      </x:c>
      <x:c r="F224" s="21" t="str">
        <x:v>\cite{OISAC_SCR01075}</x:v>
      </x:c>
      <x:c r="G224" s="21" t="str">
        <x:v>primary_source</x:v>
      </x:c>
      <x:c r="H224" s="21" t="str">
        <x:v>RPT02</x:v>
      </x:c>
      <x:c r="I224" s="21" t="str">
        <x:v>journal_version</x:v>
      </x:c>
      <x:c r="J224" s="21" t="str">
        <x:v>Integration of Sensing and Communication in a W-Band Fiber-Wireless Link Enabled by Electromagnetic Polarization Multiplexing</x:v>
      </x:c>
      <x:c r="K224" s="21" t="str">
        <x:v>M. Lei; M. Zhu; Y. Cai; M. Fang; W. Luo; J. Zhang; B. Hua; Y. Zou; X. Liu; W. Tong; J. Yu</x:v>
      </x:c>
      <x:c r="L224" s="23" t="str">
        <x:v>2023</x:v>
      </x:c>
      <x:c r="M224" s="21" t="str">
        <x:v>Journal of Lightwave Technology</x:v>
      </x:c>
      <x:c r="N224" s="21" t="str">
        <x:v>10.1109/jlt.2023.3280388</x:v>
      </x:c>
      <x:c r="O224" s="21" t="str">
        <x:v>https://doi.org/10.1109/jlt.2023.3280388</x:v>
      </x:c>
      <x:c r="P224" s="21" t="str">
        <x:v>IEEE Journals</x:v>
      </x:c>
      <x:c r="Q224" s="23" t="str">
        <x:v>12</x:v>
      </x:c>
      <x:c r="R224" s="23" t="str">
        <x:v>46</x:v>
      </x:c>
      <x:c r="S224" s="23" t="str">
        <x:v>3</x:v>
      </x:c>
      <x:c r="T224" s="23" t="str">
        <x:v>0</x:v>
      </x:c>
      <x:c r="U224" s="23" t="str">
        <x:v>0</x:v>
      </x:c>
      <x:c r="V224" s="23" t="str">
        <x:v>0</x:v>
      </x:c>
      <x:c r="W224" s="23" t="str">
        <x:v>0</x:v>
      </x:c>
      <x:c r="X224" s="23" t="str">
        <x:v>0</x:v>
      </x:c>
      <x:c r="Y224" s="21" t="str">
        <x:v>eligible_with_study_context</x:v>
      </x:c>
      <x:c r="Z224" s="21" t="str">
        <x:v>complete</x:v>
      </x:c>
      <x:c r="AA224" s="21" t="str">
        <x:v>Source SCR-01075 supplies 12 evidence, 46 metric, and 3 governed tradeoff rows; use gate: eligible_with_study_context.</x:v>
      </x:c>
    </x:row>
    <x:row r="225" ht="42" customHeight="1">
      <x:c r="A225" s="21" t="str">
        <x:v>STC-WBAND-POLARIZATION-JRC-2023-2025</x:v>
      </x:c>
      <x:c r="B225" s="21" t="str">
        <x:v>OISAC_SCR01075</x:v>
      </x:c>
      <x:c r="C225" s="21" t="str">
        <x:v>RPT-SCR-00886-01</x:v>
      </x:c>
      <x:c r="D225" s="21" t="str">
        <x:v>SCR-00886</x:v>
      </x:c>
      <x:c r="E225" s="21" t="str">
        <x:v>OISAC_SCR00886</x:v>
      </x:c>
      <x:c r="F225" s="21" t="str">
        <x:v>\cite{OISAC_SCR00886}</x:v>
      </x:c>
      <x:c r="G225" s="21" t="str">
        <x:v>supplementary_source</x:v>
      </x:c>
      <x:c r="H225" s="21" t="str">
        <x:v>RPT02</x:v>
      </x:c>
      <x:c r="I225" s="21" t="str">
        <x:v>conference_version</x:v>
      </x:c>
      <x:c r="J225" s="21" t="str">
        <x:v>Photonics-assisted joint radar and communication system in W band using electromagnetic polarization multiplexing</x:v>
      </x:c>
      <x:c r="K225" s="21" t="str">
        <x:v>Lei M.; Cai Y.; Zhang J.; Hua B.; Zou Y.; Luo W.; Fang M.; Xiang S.; Yu J.; Zhu M.</x:v>
      </x:c>
      <x:c r="L225" s="23" t="str">
        <x:v>2023</x:v>
      </x:c>
      <x:c r="M225" s="21" t="str">
        <x:v>2023 Optical Fiber Communications Conference and Exhibition, OFC 2023 - Proceedings</x:v>
      </x:c>
      <x:c r="N225" s="21" t="str">
        <x:v>10.23919/ofc49934.2023.10117221</x:v>
      </x:c>
      <x:c r="O225" s="21" t="str">
        <x:v>https://doi.org/10.23919/ofc49934.2023.10117221</x:v>
      </x:c>
      <x:c r="P225" s="21" t="str">
        <x:v>Conference paper</x:v>
      </x:c>
      <x:c r="Q225" s="23" t="str">
        <x:v>2</x:v>
      </x:c>
      <x:c r="R225" s="23" t="str">
        <x:v>4</x:v>
      </x:c>
      <x:c r="S225" s="23" t="str">
        <x:v>0</x:v>
      </x:c>
      <x:c r="T225" s="23" t="str">
        <x:v>0</x:v>
      </x:c>
      <x:c r="U225" s="23" t="str">
        <x:v>0</x:v>
      </x:c>
      <x:c r="V225" s="23" t="str">
        <x:v>0</x:v>
      </x:c>
      <x:c r="W225" s="23" t="str">
        <x:v>0</x:v>
      </x:c>
      <x:c r="X225" s="23" t="str">
        <x:v>0</x:v>
      </x:c>
      <x:c r="Y225" s="21" t="str">
        <x:v>eligible_with_study_context</x:v>
      </x:c>
      <x:c r="Z225" s="21" t="str">
        <x:v>complete</x:v>
      </x:c>
      <x:c r="AA225" s="21" t="str">
        <x:v>Source SCR-00886 supplies 2 evidence, 4 metric, and 0 governed tradeoff rows; use gate: eligible_with_study_context.</x:v>
      </x:c>
    </x:row>
    <x:row r="226" ht="42" customHeight="1">
      <x:c r="A226" s="21" t="str">
        <x:v>STC-WBAND-TFDM-DONG-2022-2024</x:v>
      </x:c>
      <x:c r="B226" s="21" t="str">
        <x:v>OISAC_SCR00966</x:v>
      </x:c>
      <x:c r="C226" s="21" t="str">
        <x:v>RPT-SCR-00966-01</x:v>
      </x:c>
      <x:c r="D226" s="21" t="str">
        <x:v>SCR-00966</x:v>
      </x:c>
      <x:c r="E226" s="21" t="str">
        <x:v>OISAC_SCR00966</x:v>
      </x:c>
      <x:c r="F226" s="21" t="str">
        <x:v>\cite{OISAC_SCR00966}</x:v>
      </x:c>
      <x:c r="G226" s="21" t="str">
        <x:v>primary_source</x:v>
      </x:c>
      <x:c r="H226" s="21" t="str">
        <x:v>RPT02</x:v>
      </x:c>
      <x:c r="I226" s="21" t="str">
        <x:v>journal_version</x:v>
      </x:c>
      <x:c r="J226" s="21" t="str">
        <x:v>Photonic-Based W-Band Integrated Sensing and Communication System With Flexible Time- Frequency Division Multiplexed Waveforms for Fiber-Wireless Network</x:v>
      </x:c>
      <x:c r="K226" s="21" t="str">
        <x:v>B. Dong; J. Jia; L. Tao; G. Li; Z. Li; C. Huang; J. Shi; H. Wang; Z. Tang; J. Zhang; S. Pan; N. Chi</x:v>
      </x:c>
      <x:c r="L226" s="23" t="str">
        <x:v>2024</x:v>
      </x:c>
      <x:c r="M226" s="21" t="str">
        <x:v>Journal of Lightwave Technology</x:v>
      </x:c>
      <x:c r="N226" s="21" t="str">
        <x:v>10.1109/jlt.2024.3354070</x:v>
      </x:c>
      <x:c r="O226" s="21" t="str">
        <x:v>https://doi.org/10.1109/jlt.2024.3354070</x:v>
      </x:c>
      <x:c r="P226" s="21" t="str">
        <x:v>IEEE Journals</x:v>
      </x:c>
      <x:c r="Q226" s="23" t="str">
        <x:v>11</x:v>
      </x:c>
      <x:c r="R226" s="23" t="str">
        <x:v>22</x:v>
      </x:c>
      <x:c r="S226" s="23" t="str">
        <x:v>3</x:v>
      </x:c>
      <x:c r="T226" s="23" t="str">
        <x:v>0</x:v>
      </x:c>
      <x:c r="U226" s="23" t="str">
        <x:v>0</x:v>
      </x:c>
      <x:c r="V226" s="23" t="str">
        <x:v>0</x:v>
      </x:c>
      <x:c r="W226" s="23" t="str">
        <x:v>0</x:v>
      </x:c>
      <x:c r="X226" s="23" t="str">
        <x:v>0</x:v>
      </x:c>
      <x:c r="Y226" s="21" t="str">
        <x:v>eligible_with_study_context</x:v>
      </x:c>
      <x:c r="Z226" s="21" t="str">
        <x:v>complete</x:v>
      </x:c>
      <x:c r="AA226" s="21" t="str">
        <x:v>Source SCR-00966 supplies 11 evidence, 22 metric, and 3 governed tradeoff rows; use gate: eligible_with_study_context.</x:v>
      </x:c>
    </x:row>
    <x:row r="227" ht="42" customHeight="1">
      <x:c r="A227" s="21" t="str">
        <x:v>STC-WBAND-TFDM-DONG-2022-2024</x:v>
      </x:c>
      <x:c r="B227" s="21" t="str">
        <x:v>OISAC_SCR00966</x:v>
      </x:c>
      <x:c r="C227" s="21" t="str">
        <x:v>RPT-SCR-00731-01</x:v>
      </x:c>
      <x:c r="D227" s="21" t="str">
        <x:v>SCR-00731</x:v>
      </x:c>
      <x:c r="E227" s="21" t="str">
        <x:v>OISAC_SCR00731</x:v>
      </x:c>
      <x:c r="F227" s="21" t="str">
        <x:v>\cite{OISAC_SCR00731}</x:v>
      </x:c>
      <x:c r="G227" s="21" t="str">
        <x:v>supplementary_source</x:v>
      </x:c>
      <x:c r="H227" s="21" t="str">
        <x:v>RPT02</x:v>
      </x:c>
      <x:c r="I227" s="21" t="str">
        <x:v>conference_version</x:v>
      </x:c>
      <x:c r="J227" s="21" t="str">
        <x:v>Photonic-based W-band Flexible TFDM Integrated Sensing and Communication System for Fiber-wireless Network</x:v>
      </x:c>
      <x:c r="K227" s="21" t="str">
        <x:v>Dong B.; Jia J.; Li G.; Shi J.; Wang H.; Tang Z.; Zhang J.; Pan S.; Chi N.</x:v>
      </x:c>
      <x:c r="L227" s="23" t="str">
        <x:v>2023</x:v>
      </x:c>
      <x:c r="M227" s="21" t="str">
        <x:v>2023 Optical Fiber Communications Conference and Exhibition, OFC 2023 - Proceedings</x:v>
      </x:c>
      <x:c r="N227" s="21" t="str">
        <x:v>10.23919/ofc49934.2023.10116069</x:v>
      </x:c>
      <x:c r="O227" s="21" t="str">
        <x:v>https://doi.org/10.23919/ofc49934.2023.10116069</x:v>
      </x:c>
      <x:c r="P227" s="21" t="str">
        <x:v>Conference paper</x:v>
      </x:c>
      <x:c r="Q227" s="23" t="str">
        <x:v>2</x:v>
      </x:c>
      <x:c r="R227" s="23" t="str">
        <x:v>4</x:v>
      </x:c>
      <x:c r="S227" s="23" t="str">
        <x:v>0</x:v>
      </x:c>
      <x:c r="T227" s="23" t="str">
        <x:v>0</x:v>
      </x:c>
      <x:c r="U227" s="23" t="str">
        <x:v>0</x:v>
      </x:c>
      <x:c r="V227" s="23" t="str">
        <x:v>0</x:v>
      </x:c>
      <x:c r="W227" s="23" t="str">
        <x:v>0</x:v>
      </x:c>
      <x:c r="X227" s="23" t="str">
        <x:v>0</x:v>
      </x:c>
      <x:c r="Y227" s="21" t="str">
        <x:v>eligible_with_study_context</x:v>
      </x:c>
      <x:c r="Z227" s="21" t="str">
        <x:v>complete</x:v>
      </x:c>
      <x:c r="AA227" s="21" t="str">
        <x:v>Source SCR-00731 supplies 2 evidence, 4 metric, and 0 governed tradeoff rows; use gate: eligible_with_study_context.</x:v>
      </x:c>
    </x:row>
    <x:row r="228" ht="42" customHeight="1">
      <x:c r="A228" s="22" t="str">
        <x:v>STC-WBAND-TFDM-DONG-2022-2024</x:v>
      </x:c>
      <x:c r="B228" s="22" t="str">
        <x:v>OISAC_SCR00966</x:v>
      </x:c>
      <x:c r="C228" s="22" t="str">
        <x:v>RPT-SCR-00784-01</x:v>
      </x:c>
      <x:c r="D228" s="22" t="str">
        <x:v>SCR-00784</x:v>
      </x:c>
      <x:c r="E228" s="22" t="str">
        <x:v>OISAC_SCR00784</x:v>
      </x:c>
      <x:c r="F228" s="22" t="str">
        <x:v>\cite{OISAC_SCR00784}</x:v>
      </x:c>
      <x:c r="G228" s="22" t="str">
        <x:v>supplementary_source</x:v>
      </x:c>
      <x:c r="H228" s="22" t="str">
        <x:v>RPT02</x:v>
      </x:c>
      <x:c r="I228" s="22" t="str">
        <x:v>companion_report</x:v>
      </x:c>
      <x:c r="J228" s="22" t="str">
        <x:v>Demonstration of photonics-based flexible integration of sensing and communication with adaptive waveforms for a W-band fiber-wireless integrated network</x:v>
      </x:c>
      <x:c r="K228" s="22" t="str">
        <x:v>Dong B.; Jia J.; Li G.; Shi J.; Wang H.; Zhang J.; Chi N.</x:v>
      </x:c>
      <x:c r="L228" s="24" t="str">
        <x:v>2022</x:v>
      </x:c>
      <x:c r="M228" s="22" t="str">
        <x:v>Optics Express</x:v>
      </x:c>
      <x:c r="N228" s="22" t="str">
        <x:v>10.1364/oe.472693</x:v>
      </x:c>
      <x:c r="O228" s="22" t="str">
        <x:v>https://doi.org/10.1364/oe.472693</x:v>
      </x:c>
      <x:c r="P228" s="22" t="str">
        <x:v>Article</x:v>
      </x:c>
      <x:c r="Q228" s="24" t="str">
        <x:v>10</x:v>
      </x:c>
      <x:c r="R228" s="24" t="str">
        <x:v>17</x:v>
      </x:c>
      <x:c r="S228" s="24" t="str">
        <x:v>2</x:v>
      </x:c>
      <x:c r="T228" s="24" t="str">
        <x:v>0</x:v>
      </x:c>
      <x:c r="U228" s="24" t="str">
        <x:v>0</x:v>
      </x:c>
      <x:c r="V228" s="24" t="str">
        <x:v>0</x:v>
      </x:c>
      <x:c r="W228" s="24" t="str">
        <x:v>0</x:v>
      </x:c>
      <x:c r="X228" s="24" t="str">
        <x:v>0</x:v>
      </x:c>
      <x:c r="Y228" s="22" t="str">
        <x:v>eligible_with_study_context</x:v>
      </x:c>
      <x:c r="Z228" s="22" t="str">
        <x:v>complete</x:v>
      </x:c>
      <x:c r="AA228" s="22" t="str">
        <x:v>Source SCR-00784 supplies 10 evidence, 17 metric, and 2 governed tradeoff rows; use gate: eligible_with_study_context.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788cbc743f81436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8" hidden="0" customWidth="1"/>
    <x:col min="4" max="4" width="22" hidden="0" customWidth="1"/>
    <x:col min="5" max="5" width="24" hidden="0" customWidth="1"/>
    <x:col min="6" max="6" width="24" hidden="0" customWidth="1"/>
    <x:col min="7" max="7" width="22" hidden="0" customWidth="1"/>
    <x:col min="8" max="8" width="24" hidden="0" customWidth="1"/>
    <x:col min="9" max="9" width="48" hidden="0" customWidth="1"/>
    <x:col min="10" max="10" width="13" hidden="0" customWidth="1"/>
    <x:col min="11" max="11" width="34" hidden="0" customWidth="1"/>
    <x:col min="12" max="12" width="30" hidden="0" customWidth="1"/>
    <x:col min="13" max="13" width="30" hidden="0" customWidth="1"/>
    <x:col min="14" max="14" width="13" hidden="0" customWidth="1"/>
    <x:col min="15" max="15" width="38" hidden="0" customWidth="1"/>
    <x:col min="16" max="16" width="13" hidden="0" customWidth="1"/>
    <x:col min="17" max="17" width="38" hidden="0" customWidth="1"/>
    <x:col min="18" max="18" width="13" hidden="0" customWidth="1"/>
    <x:col min="19" max="19" width="38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24" hidden="0" customWidth="1"/>
    <x:col min="25" max="25" width="22" hidden="0" customWidth="1"/>
    <x:col min="26" max="26" width="48" hidden="0" customWidth="1"/>
  </x:cols>
  <x:sheetData>
    <x:row r="1" ht="38" customHeight="1">
      <x:c r="A1" s="20" t="str">
        <x:v>study_id</x:v>
      </x:c>
      <x:c r="B1" s="20" t="str">
        <x:v>study_primary_citation_key</x:v>
      </x:c>
      <x:c r="C1" s="20" t="str">
        <x:v>companion_report_id</x:v>
      </x:c>
      <x:c r="D1" s="20" t="str">
        <x:v>companion_screening_record_id</x:v>
      </x:c>
      <x:c r="E1" s="20" t="str">
        <x:v>companion_report_citation_key</x:v>
      </x:c>
      <x:c r="F1" s="20" t="str">
        <x:v>companion_report_citation_command</x:v>
      </x:c>
      <x:c r="G1" s="20" t="str">
        <x:v>relation_code</x:v>
      </x:c>
      <x:c r="H1" s="20" t="str">
        <x:v>report_role</x:v>
      </x:c>
      <x:c r="I1" s="20" t="str">
        <x:v>title</x:v>
      </x:c>
      <x:c r="J1" s="20" t="str">
        <x:v>year</x:v>
      </x:c>
      <x:c r="K1" s="20" t="str">
        <x:v>venue</x:v>
      </x:c>
      <x:c r="L1" s="20" t="str">
        <x:v>doi</x:v>
      </x:c>
      <x:c r="M1" s="20" t="str">
        <x:v>source_url</x:v>
      </x:c>
      <x:c r="N1" s="20" t="str">
        <x:v>extracted_evidence_row_count</x:v>
      </x:c>
      <x:c r="O1" s="20" t="str">
        <x:v>evidence_record_ids</x:v>
      </x:c>
      <x:c r="P1" s="20" t="str">
        <x:v>extracted_metric_row_count</x:v>
      </x:c>
      <x:c r="Q1" s="20" t="str">
        <x:v>metric_record_ids</x:v>
      </x:c>
      <x:c r="R1" s="20" t="str">
        <x:v>governed_tradeoff_row_count</x:v>
      </x:c>
      <x:c r="S1" s="20" t="str">
        <x:v>tradeoff_record_ids</x:v>
      </x:c>
      <x:c r="T1" s="20" t="str">
        <x:v>report_specific_guardrail_metric_count</x:v>
      </x:c>
      <x:c r="U1" s="20" t="str">
        <x:v>pending_human_token_count</x:v>
      </x:c>
      <x:c r="V1" s="20" t="str">
        <x:v>pending_human_token_resolved_or_approved_count</x:v>
      </x:c>
      <x:c r="W1" s="20" t="str">
        <x:v>unresolved_pending_human_row_count</x:v>
      </x:c>
      <x:c r="X1" s="20" t="str">
        <x:v>synthesis_use_gate</x:v>
      </x:c>
      <x:c r="Y1" s="20" t="str">
        <x:v>source_workbook_sha256</x:v>
      </x:c>
      <x:c r="Z1" s="20" t="str">
        <x:v>exact_provenance_statement</x:v>
      </x:c>
    </x:row>
    <x:row r="2" ht="42" customHeight="1">
      <x:c r="A2" s="21" t="str">
        <x:v>STC-DP-IMDD-THZ-RANGING-2025-2026</x:v>
      </x:c>
      <x:c r="B2" s="21" t="str">
        <x:v>OISAC_SCR00989</x:v>
      </x:c>
      <x:c r="C2" s="21" t="str">
        <x:v>RPT-SCR-00933-01</x:v>
      </x:c>
      <x:c r="D2" s="21" t="str">
        <x:v>SCR-00933</x:v>
      </x:c>
      <x:c r="E2" s="21" t="str">
        <x:v>OISAC_SCR00933</x:v>
      </x:c>
      <x:c r="F2" s="21" t="str">
        <x:v>\cite{OISAC_SCR00933}</x:v>
      </x:c>
      <x:c r="G2" s="21" t="str">
        <x:v>RPT02</x:v>
      </x:c>
      <x:c r="H2" s="21" t="str">
        <x:v>conference_version</x:v>
      </x:c>
      <x:c r="I2" s="21" t="str">
        <x:v>310Gbps Integrated Sensing and Communication Dual-Polarization IM/DD Photonic THz System</x:v>
      </x:c>
      <x:c r="J2" s="23" t="str">
        <x:v>2026</x:v>
      </x:c>
      <x:c r="K2" s="21" t="str">
        <x:v>2026 Optical Fiber Communications Conference and Exhibition (OFC)</x:v>
      </x:c>
      <x:c r="L2" s="21" t="str"/>
      <x:c r="M2" s="21" t="str">
        <x:v>https://ieeexplore.ieee.org/document/11525332</x:v>
      </x:c>
      <x:c r="N2" s="23" t="str">
        <x:v>3</x:v>
      </x:c>
      <x:c r="O2" s="21" t="str">
        <x:v>EVI-R10-SCR00989-002; EVI-R10-SCR00989-009; EVI-R10-SCR00989-013</x:v>
      </x:c>
      <x:c r="P2" s="23" t="str">
        <x:v>1</x:v>
      </x:c>
      <x:c r="Q2" s="21" t="str">
        <x:v>MET-R10-SCR00989-019</x:v>
      </x:c>
      <x:c r="R2" s="23" t="str">
        <x:v>0</x:v>
      </x:c>
      <x:c r="S2" s="21" t="str"/>
      <x:c r="T2" s="23" t="str">
        <x:v>0</x:v>
      </x:c>
      <x:c r="U2" s="23" t="str">
        <x:v>0</x:v>
      </x:c>
      <x:c r="V2" s="23" t="str">
        <x:v>0</x:v>
      </x:c>
      <x:c r="W2" s="23" t="str">
        <x:v>0</x:v>
      </x:c>
      <x:c r="X2" s="21" t="str">
        <x:v>eligible_with_study_context</x:v>
      </x:c>
      <x:c r="Y2" s="21" t="str">
        <x:v>e0ea51c332483f0e7150b25ecfae9a1b1c19232a74b1f484d1277fd8a46da55c</x:v>
      </x:c>
      <x:c r="Z2" s="21" t="str">
        <x:v>Source SCR-00933 supplies 3 evidence, 1 metric, and 0 governed tradeoff rows; use gate: eligible_with_study_context.</x:v>
      </x:c>
    </x:row>
    <x:row r="3" ht="42" customHeight="1">
      <x:c r="A3" s="21" t="str">
        <x:v>STC-DSCM-ANN-DT-ECL-2025-2026</x:v>
      </x:c>
      <x:c r="B3" s="21" t="str">
        <x:v>OISAC_SCR01185</x:v>
      </x:c>
      <x:c r="C3" s="21" t="str">
        <x:v>RPT-SCR-00722-01</x:v>
      </x:c>
      <x:c r="D3" s="21" t="str">
        <x:v>SCR-00722</x:v>
      </x:c>
      <x:c r="E3" s="21" t="str">
        <x:v>OISAC_SCR00722</x:v>
      </x:c>
      <x:c r="F3" s="21" t="str">
        <x:v>\cite{OISAC_SCR00722}</x:v>
      </x:c>
      <x:c r="G3" s="21" t="str">
        <x:v>RPT02</x:v>
      </x:c>
      <x:c r="H3" s="21" t="str">
        <x:v>conference_version</x:v>
      </x:c>
      <x:c r="I3" s="21" t="str">
        <x:v>Integrated Vibration Sensing in DSCM Systems Under ECLs Based on ANN and Digital Twin</x:v>
      </x:c>
      <x:c r="J3" s="23" t="str">
        <x:v>2025</x:v>
      </x:c>
      <x:c r="K3" s="21" t="str">
        <x:v>2025 23rd International Conference on Optical Communications and Networks, ICOCN 2025</x:v>
      </x:c>
      <x:c r="L3" s="21" t="str">
        <x:v>10.1109/icocn67308.2025.11145413</x:v>
      </x:c>
      <x:c r="M3" s="21" t="str">
        <x:v>https://doi.org/10.1109/icocn67308.2025.11145413</x:v>
      </x:c>
      <x:c r="N3" s="23" t="str">
        <x:v>2</x:v>
      </x:c>
      <x:c r="O3" s="21" t="str">
        <x:v>EVI-R15-SCR01185-002; EVI-R15-SCR01185-013</x:v>
      </x:c>
      <x:c r="P3" s="23" t="str">
        <x:v>7</x:v>
      </x:c>
      <x:c r="Q3" s="21" t="str">
        <x:v>MET-R15-SCR01185-044; MET-R15-SCR01185-045; MET-R15-SCR01185-046; MET-R15-SCR01185-047; MET-R15-SCR01185-048; MET-R15-SCR01185-049; MET-R15-SCR01185-050</x:v>
      </x:c>
      <x:c r="R3" s="23" t="str">
        <x:v>0</x:v>
      </x:c>
      <x:c r="S3" s="21" t="str"/>
      <x:c r="T3" s="23" t="str">
        <x:v>0</x:v>
      </x:c>
      <x:c r="U3" s="23" t="str">
        <x:v>0</x:v>
      </x:c>
      <x:c r="V3" s="23" t="str">
        <x:v>0</x:v>
      </x:c>
      <x:c r="W3" s="23" t="str">
        <x:v>0</x:v>
      </x:c>
      <x:c r="X3" s="21" t="str">
        <x:v>eligible_with_study_context</x:v>
      </x:c>
      <x:c r="Y3" s="21" t="str">
        <x:v>e0ea51c332483f0e7150b25ecfae9a1b1c19232a74b1f484d1277fd8a46da55c</x:v>
      </x:c>
      <x:c r="Z3" s="21" t="str">
        <x:v>Source SCR-00722 supplies 2 evidence, 7 metric, and 0 governed tradeoff rows; use gate: eligible_with_study_context.</x:v>
      </x:c>
    </x:row>
    <x:row r="4" ht="42" customHeight="1">
      <x:c r="A4" s="21" t="str">
        <x:v>STC-EADO-OFDM-RANGING-2024-2025</x:v>
      </x:c>
      <x:c r="B4" s="21" t="str">
        <x:v>OISAC_SCR00956</x:v>
      </x:c>
      <x:c r="C4" s="21" t="str">
        <x:v>RPT-SCR-00955-01</x:v>
      </x:c>
      <x:c r="D4" s="21" t="str">
        <x:v>SCR-00955</x:v>
      </x:c>
      <x:c r="E4" s="21" t="str">
        <x:v>OISAC_SCR00955</x:v>
      </x:c>
      <x:c r="F4" s="21" t="str">
        <x:v>\cite{OISAC_SCR00955}</x:v>
      </x:c>
      <x:c r="G4" s="21" t="str">
        <x:v>RPT02</x:v>
      </x:c>
      <x:c r="H4" s="21" t="str">
        <x:v>conference_version</x:v>
      </x:c>
      <x:c r="I4" s="21" t="str">
        <x:v>Adaptive Resource Allocation in ADO-OFDM for Optical Wireless Integrated Sensing and Communication</x:v>
      </x:c>
      <x:c r="J4" s="23" t="str">
        <x:v>2024</x:v>
      </x:c>
      <x:c r="K4" s="21" t="str">
        <x:v>GLOBECOM 2024 - 2024 IEEE Global Communications Conference</x:v>
      </x:c>
      <x:c r="L4" s="21" t="str">
        <x:v>10.1109/globecom52923.2024.10901628</x:v>
      </x:c>
      <x:c r="M4" s="21" t="str">
        <x:v>https://doi.org/10.1109/globecom52923.2024.10901628</x:v>
      </x:c>
      <x:c r="N4" s="23" t="str">
        <x:v>4</x:v>
      </x:c>
      <x:c r="O4" s="21" t="str">
        <x:v>EVI-R09-SCR00955-001; EVI-R09-SCR00955-002; EVI-R09-SCR00955-003; EVI-R09-SCR00955-004</x:v>
      </x:c>
      <x:c r="P4" s="23" t="str">
        <x:v>7</x:v>
      </x:c>
      <x:c r="Q4" s="21" t="str">
        <x:v>MET-R09-SCR00955-001; MET-R09-SCR00955-002; MET-R09-SCR00955-003; MET-R09-SCR00955-004; MET-R09-SCR00955-005; MET-R09-SCR00955-006; MET-R09-SCR00955-007</x:v>
      </x:c>
      <x:c r="R4" s="23" t="str">
        <x:v>1</x:v>
      </x:c>
      <x:c r="S4" s="21" t="str">
        <x:v>TRD-R09-SCR00955-001</x:v>
      </x:c>
      <x:c r="T4" s="23" t="str">
        <x:v>0</x:v>
      </x:c>
      <x:c r="U4" s="23" t="str">
        <x:v>0</x:v>
      </x:c>
      <x:c r="V4" s="23" t="str">
        <x:v>0</x:v>
      </x:c>
      <x:c r="W4" s="23" t="str">
        <x:v>0</x:v>
      </x:c>
      <x:c r="X4" s="21" t="str">
        <x:v>eligible_with_study_context</x:v>
      </x:c>
      <x:c r="Y4" s="21" t="str">
        <x:v>e0ea51c332483f0e7150b25ecfae9a1b1c19232a74b1f484d1277fd8a46da55c</x:v>
      </x:c>
      <x:c r="Z4" s="21" t="str">
        <x:v>Source SCR-00955 supplies 4 evidence, 7 metric, and 1 governed tradeoff rows; use gate: eligible_with_study_context.</x:v>
      </x:c>
    </x:row>
    <x:row r="5" ht="42" customHeight="1">
      <x:c r="A5" s="21" t="str">
        <x:v>STC-ENDOGENOUS-TS-FRFT-DAS-2025</x:v>
      </x:c>
      <x:c r="B5" s="21" t="str">
        <x:v>OISAC_SCR00072</x:v>
      </x:c>
      <x:c r="C5" s="21" t="str">
        <x:v>RPT-SCR-00099-01</x:v>
      </x:c>
      <x:c r="D5" s="21" t="str">
        <x:v>SCR-00099</x:v>
      </x:c>
      <x:c r="E5" s="21" t="str">
        <x:v>OISAC_SCR00099</x:v>
      </x:c>
      <x:c r="F5" s="21" t="str">
        <x:v>\cite{OISAC_SCR00099}</x:v>
      </x:c>
      <x:c r="G5" s="21" t="str">
        <x:v>RPT02</x:v>
      </x:c>
      <x:c r="H5" s="21" t="str">
        <x:v>conference_companion_report</x:v>
      </x:c>
      <x:c r="I5" s="21" t="str">
        <x:v>Endogenous ISAC Enabled Interference Fading Free Sensing via Telecom Training Sequence</x:v>
      </x:c>
      <x:c r="J5" s="23" t="str">
        <x:v>2025</x:v>
      </x:c>
      <x:c r="K5" s="21" t="str">
        <x:v>Opto-Electronics and Communications Conference, OECC</x:v>
      </x:c>
      <x:c r="L5" s="21" t="str">
        <x:v>10.23919/oecc/psc62146.2025.11110297</x:v>
      </x:c>
      <x:c r="M5" s="21" t="str">
        <x:v>https://doi.org/10.23919/oecc/psc62146.2025.11110297</x:v>
      </x:c>
      <x:c r="N5" s="23" t="str">
        <x:v>2</x:v>
      </x:c>
      <x:c r="O5" s="21" t="str">
        <x:v>EVI-STCENDOGENOUS-G2-006; EVI-STCENDOGENOUS-G2-009</x:v>
      </x:c>
      <x:c r="P5" s="23" t="str">
        <x:v>5</x:v>
      </x:c>
      <x:c r="Q5" s="21" t="str">
        <x:v>MET-STCENDOGENOUS-G2-018; MET-STCENDOGENOUS-G2-019; MET-STCENDOGENOUS-G2-020; MET-STCENDOGENOUS-G2-021; MET-STCENDOGENOUS-G2-022</x:v>
      </x:c>
      <x:c r="R5" s="23" t="str">
        <x:v>1</x:v>
      </x:c>
      <x:c r="S5" s="21" t="str">
        <x:v>TRD-STCENDOGENOUS-G2-002</x:v>
      </x:c>
      <x:c r="T5" s="23" t="str">
        <x:v>5</x:v>
      </x:c>
      <x:c r="U5" s="23" t="str">
        <x:v>0</x:v>
      </x:c>
      <x:c r="V5" s="23" t="str">
        <x:v>0</x:v>
      </x:c>
      <x:c r="W5" s="23" t="str">
        <x:v>0</x:v>
      </x:c>
      <x:c r="X5" s="21" t="str">
        <x:v>report_specific_guardrail</x:v>
      </x:c>
      <x:c r="Y5" s="21" t="str">
        <x:v>e0ea51c332483f0e7150b25ecfae9a1b1c19232a74b1f484d1277fd8a46da55c</x:v>
      </x:c>
      <x:c r="Z5" s="21" t="str">
        <x:v>Source SCR-00099 supplies 2 evidence, 5 metric, and 1 governed tradeoff rows; use gate: report_specific_guardrail.</x:v>
      </x:c>
    </x:row>
    <x:row r="6" ht="42" customHeight="1">
      <x:c r="A6" s="21" t="str">
        <x:v>STC-FRDM-POLARIZATION-SENSING-2025-2026</x:v>
      </x:c>
      <x:c r="B6" s="21" t="str">
        <x:v>OISAC_SCR00220</x:v>
      </x:c>
      <x:c r="C6" s="21" t="str">
        <x:v>RPT-SCR-00592-01</x:v>
      </x:c>
      <x:c r="D6" s="21" t="str">
        <x:v>SCR-00592</x:v>
      </x:c>
      <x:c r="E6" s="21" t="str">
        <x:v>OISAC_SCR00592</x:v>
      </x:c>
      <x:c r="F6" s="21" t="str">
        <x:v>\cite{OISAC_SCR00592}</x:v>
      </x:c>
      <x:c r="G6" s="21" t="str">
        <x:v>RPT02</x:v>
      </x:c>
      <x:c r="H6" s="21" t="str">
        <x:v>conference_companion_report</x:v>
      </x:c>
      <x:c r="I6" s="21" t="str">
        <x:v>Integration of In-band Polarization-Based Sensing and Communication via Fraction Domain Multiplexing</x:v>
      </x:c>
      <x:c r="J6" s="23" t="str">
        <x:v>2025</x:v>
      </x:c>
      <x:c r="K6" s="21" t="str">
        <x:v>Asia Communications and Photonics Conference, ACP</x:v>
      </x:c>
      <x:c r="L6" s="21" t="str">
        <x:v>10.1109/acp66871.2025.11350917</x:v>
      </x:c>
      <x:c r="M6" s="21" t="str">
        <x:v>https://doi.org/10.1109/acp66871.2025.11350917</x:v>
      </x:c>
      <x:c r="N6" s="23" t="str">
        <x:v>2</x:v>
      </x:c>
      <x:c r="O6" s="21" t="str">
        <x:v>EVI-R01-SCR00220-009; EVI-R01-SCR00220-010</x:v>
      </x:c>
      <x:c r="P6" s="23" t="str">
        <x:v>4</x:v>
      </x:c>
      <x:c r="Q6" s="21" t="str">
        <x:v>MET-R01-SCR00592-001; MET-R01-SCR00592-002; MET-R01-SCR00592-003; MET-R01-SCR00592-004</x:v>
      </x:c>
      <x:c r="R6" s="23" t="str">
        <x:v>1</x:v>
      </x:c>
      <x:c r="S6" s="21" t="str">
        <x:v>TRD-R01-SCR00592-001</x:v>
      </x:c>
      <x:c r="T6" s="23" t="str">
        <x:v>2</x:v>
      </x:c>
      <x:c r="U6" s="23" t="str">
        <x:v>3</x:v>
      </x:c>
      <x:c r="V6" s="23" t="str">
        <x:v>0</x:v>
      </x:c>
      <x:c r="W6" s="23" t="str">
        <x:v>0</x:v>
      </x:c>
      <x:c r="X6" s="21" t="str">
        <x:v>report_specific_guardrail</x:v>
      </x:c>
      <x:c r="Y6" s="21" t="str">
        <x:v>e0ea51c332483f0e7150b25ecfae9a1b1c19232a74b1f484d1277fd8a46da55c</x:v>
      </x:c>
      <x:c r="Z6" s="21" t="str">
        <x:v>Source SCR-00592 supplies 2 evidence, 4 metric, and 1 governed tradeoff rows; use gate: report_specific_guardrail.</x:v>
      </x:c>
    </x:row>
    <x:row r="7" ht="42" customHeight="1">
      <x:c r="A7" s="21" t="str">
        <x:v>STC-III-NITRIDE-MOTION-VLC-2023</x:v>
      </x:c>
      <x:c r="B7" s="21" t="str">
        <x:v>OISAC_SCR00763</x:v>
      </x:c>
      <x:c r="C7" s="21" t="str">
        <x:v>RPT-SCR-00619-01</x:v>
      </x:c>
      <x:c r="D7" s="21" t="str">
        <x:v>SCR-00619</x:v>
      </x:c>
      <x:c r="E7" s="21" t="str">
        <x:v>OISAC_SCR00619</x:v>
      </x:c>
      <x:c r="F7" s="21" t="str">
        <x:v>\cite{OISAC_SCR00619}</x:v>
      </x:c>
      <x:c r="G7" s="21" t="str">
        <x:v>RPT02</x:v>
      </x:c>
      <x:c r="H7" s="21" t="str">
        <x:v>companion_report</x:v>
      </x:c>
      <x:c r="I7" s="21" t="str">
        <x:v>Integrated Nitride optoelectronic chip for motion detection and visible light communication; [运动探测及可见光通信一体化氮化物光电子芯片]</x:v>
      </x:c>
      <x:c r="J7" s="23" t="str">
        <x:v>2023</x:v>
      </x:c>
      <x:c r="K7" s="21" t="str">
        <x:v>Chinese Optics</x:v>
      </x:c>
      <x:c r="L7" s="21" t="str">
        <x:v>10.37188/co.2023-0028</x:v>
      </x:c>
      <x:c r="M7" s="21" t="str">
        <x:v>https://doi.org/10.37188/co.2023-0028</x:v>
      </x:c>
      <x:c r="N7" s="23" t="str">
        <x:v>10</x:v>
      </x:c>
      <x:c r="O7" s="21" t="str">
        <x:v>EVI-R05-SCR00763-002; EVI-R05-SCR00763-004; EVI-R05-SCR00763-010; EVI-R05-SCR00763-011; EVI-R05-SCR00763-012; EVI-R05-SCR00763-013; EVI-R05-SCR00763-014; EVI-R05-SCR00763-015; EVI-R05-SCR00763-016; EVI-R05-SCR00763-019</x:v>
      </x:c>
      <x:c r="P7" s="23" t="str">
        <x:v>16</x:v>
      </x:c>
      <x:c r="Q7" s="21" t="str">
        <x:v>MET-R05-SCR00763-013; MET-R05-SCR00763-014; MET-R05-SCR00763-015; MET-R05-SCR00763-016; MET-R05-SCR00763-017; MET-R05-SCR00763-018; MET-R05-SCR00763-019; MET-R05-SCR00763-020; MET-R05-SCR00763-021; MET-R05-SCR00763-022; MET-R05-SCR00763-023; MET-R05-SCR00763-024; MET-R05-SCR00763-027; MET-R05-SCR00763-028; MET-R05-SCR00763-029; MET-R05-SCR00763-030</x:v>
      </x:c>
      <x:c r="R7" s="23" t="str">
        <x:v>1</x:v>
      </x:c>
      <x:c r="S7" s="21" t="str">
        <x:v>TRD-R05-SCR00763-002</x:v>
      </x:c>
      <x:c r="T7" s="23" t="str">
        <x:v>0</x:v>
      </x:c>
      <x:c r="U7" s="23" t="str">
        <x:v>0</x:v>
      </x:c>
      <x:c r="V7" s="23" t="str">
        <x:v>0</x:v>
      </x:c>
      <x:c r="W7" s="23" t="str">
        <x:v>0</x:v>
      </x:c>
      <x:c r="X7" s="21" t="str">
        <x:v>eligible_with_study_context</x:v>
      </x:c>
      <x:c r="Y7" s="21" t="str">
        <x:v>e0ea51c332483f0e7150b25ecfae9a1b1c19232a74b1f484d1277fd8a46da55c</x:v>
      </x:c>
      <x:c r="Z7" s="21" t="str">
        <x:v>Source SCR-00619 supplies 10 evidence, 16 metric, and 1 governed tradeoff rows; use gate: eligible_with_study_context.</x:v>
      </x:c>
    </x:row>
    <x:row r="8" ht="42" customHeight="1">
      <x:c r="A8" s="21" t="str">
        <x:v>STC-MMW-OFDM-PENG-2023-2024</x:v>
      </x:c>
      <x:c r="B8" s="21" t="str">
        <x:v>OISAC_SCR00889</x:v>
      </x:c>
      <x:c r="C8" s="21" t="str">
        <x:v>RPT-SCR-00900-01</x:v>
      </x:c>
      <x:c r="D8" s="21" t="str">
        <x:v>SCR-00900</x:v>
      </x:c>
      <x:c r="E8" s="21" t="str">
        <x:v>OISAC_SCR00900</x:v>
      </x:c>
      <x:c r="F8" s="21" t="str">
        <x:v>\cite{OISAC_SCR00900}</x:v>
      </x:c>
      <x:c r="G8" s="21" t="str">
        <x:v>RPT02</x:v>
      </x:c>
      <x:c r="H8" s="21" t="str">
        <x:v>conference_version</x:v>
      </x:c>
      <x:c r="I8" s="21" t="str">
        <x:v>A Photonics-aided MMW OFDM Joint Radar and Communication System with Velocity Accuracy Improvement</x:v>
      </x:c>
      <x:c r="J8" s="23" t="str">
        <x:v>2023</x:v>
      </x:c>
      <x:c r="K8" s="21" t="str">
        <x:v>APSCON 2023 - IEEE Applied Sensing Conference, Symposium Proceedings</x:v>
      </x:c>
      <x:c r="L8" s="21" t="str">
        <x:v>10.1109/apscon56343.2023.10101228</x:v>
      </x:c>
      <x:c r="M8" s="21" t="str">
        <x:v>https://doi.org/10.1109/apscon56343.2023.10101228</x:v>
      </x:c>
      <x:c r="N8" s="23" t="str">
        <x:v>4</x:v>
      </x:c>
      <x:c r="O8" s="21" t="str">
        <x:v>EVI-R06-SCR00900-001; EVI-R06-SCR00900-002; EVI-R06-SCR00900-003; EVI-R06-SCR00900-004</x:v>
      </x:c>
      <x:c r="P8" s="23" t="str">
        <x:v>12</x:v>
      </x:c>
      <x:c r="Q8" s="21" t="str">
        <x:v>MET-R06-SCR00900-001; MET-R06-SCR00900-002; MET-R06-SCR00900-003; MET-R06-SCR00900-004; MET-R06-SCR00900-005; MET-R06-SCR00900-006; MET-R06-SCR00900-007; MET-R06-SCR00900-008; MET-R06-SCR00900-009; MET-R06-SCR00900-010; MET-R06-SCR00900-011; MET-R06-SCR00900-012</x:v>
      </x:c>
      <x:c r="R8" s="23" t="str">
        <x:v>1</x:v>
      </x:c>
      <x:c r="S8" s="21" t="str">
        <x:v>TRD-R06-SCR00900-001</x:v>
      </x:c>
      <x:c r="T8" s="23" t="str">
        <x:v>0</x:v>
      </x:c>
      <x:c r="U8" s="23" t="str">
        <x:v>0</x:v>
      </x:c>
      <x:c r="V8" s="23" t="str">
        <x:v>0</x:v>
      </x:c>
      <x:c r="W8" s="23" t="str">
        <x:v>0</x:v>
      </x:c>
      <x:c r="X8" s="21" t="str">
        <x:v>eligible_with_study_context</x:v>
      </x:c>
      <x:c r="Y8" s="21" t="str">
        <x:v>e0ea51c332483f0e7150b25ecfae9a1b1c19232a74b1f484d1277fd8a46da55c</x:v>
      </x:c>
      <x:c r="Z8" s="21" t="str">
        <x:v>Source SCR-00900 supplies 4 evidence, 12 metric, and 1 governed tradeoff rows; use gate: eligible_with_study_context.</x:v>
      </x:c>
    </x:row>
    <x:row r="9" ht="42" customHeight="1">
      <x:c r="A9" s="21" t="str">
        <x:v>STC-MULTICHANNEL-LFM-QAM-THZ-2024-2026</x:v>
      </x:c>
      <x:c r="B9" s="21" t="str">
        <x:v>OISAC_SCR00988</x:v>
      </x:c>
      <x:c r="C9" s="21" t="str">
        <x:v>RPT-SCR-00440-01</x:v>
      </x:c>
      <x:c r="D9" s="21" t="str">
        <x:v>SCR-00440</x:v>
      </x:c>
      <x:c r="E9" s="21" t="str">
        <x:v>OISAC_SCR00440</x:v>
      </x:c>
      <x:c r="F9" s="21" t="str">
        <x:v>\cite{OISAC_SCR00440}</x:v>
      </x:c>
      <x:c r="G9" s="21" t="str">
        <x:v>RPT02</x:v>
      </x:c>
      <x:c r="H9" s="21" t="str">
        <x:v>conference_version</x:v>
      </x:c>
      <x:c r="I9" s="21" t="str">
        <x:v>Photonic THz-ISAC Demonstration with Simultaneous 120Gbit/s Communication and 2.5mm Sensing Resolution</x:v>
      </x:c>
      <x:c r="J9" s="23" t="str">
        <x:v>2023</x:v>
      </x:c>
      <x:c r="K9" s="21" t="str">
        <x:v>IET Conference Proceedings</x:v>
      </x:c>
      <x:c r="L9" s="21" t="str">
        <x:v>10.1049/icp.2023.2658</x:v>
      </x:c>
      <x:c r="M9" s="21" t="str">
        <x:v>https://doi.org/10.1049/icp.2023.2658</x:v>
      </x:c>
      <x:c r="N9" s="23" t="str">
        <x:v>2</x:v>
      </x:c>
      <x:c r="O9" s="21" t="str">
        <x:v>EVI-R10-SCR00988-002; EVI-R10-SCR00988-013</x:v>
      </x:c>
      <x:c r="P9" s="23" t="str">
        <x:v>1</x:v>
      </x:c>
      <x:c r="Q9" s="21" t="str">
        <x:v>MET-R10-SCR00988-026</x:v>
      </x:c>
      <x:c r="R9" s="23" t="str">
        <x:v>0</x:v>
      </x:c>
      <x:c r="S9" s="21" t="str"/>
      <x:c r="T9" s="23" t="str">
        <x:v>0</x:v>
      </x:c>
      <x:c r="U9" s="23" t="str">
        <x:v>0</x:v>
      </x:c>
      <x:c r="V9" s="23" t="str">
        <x:v>0</x:v>
      </x:c>
      <x:c r="W9" s="23" t="str">
        <x:v>0</x:v>
      </x:c>
      <x:c r="X9" s="21" t="str">
        <x:v>eligible_with_study_context</x:v>
      </x:c>
      <x:c r="Y9" s="21" t="str">
        <x:v>e0ea51c332483f0e7150b25ecfae9a1b1c19232a74b1f484d1277fd8a46da55c</x:v>
      </x:c>
      <x:c r="Z9" s="21" t="str">
        <x:v>Source SCR-00440 supplies 2 evidence, 1 metric, and 0 governed tradeoff rows; use gate: eligible_with_study_context.</x:v>
      </x:c>
    </x:row>
    <x:row r="10" ht="42" customHeight="1">
      <x:c r="A10" s="21" t="str">
        <x:v>STC-OCDM-THZ-OVER-FIBER-2024-2025</x:v>
      </x:c>
      <x:c r="B10" s="21" t="str">
        <x:v>OISAC_SCR00993</x:v>
      </x:c>
      <x:c r="C10" s="21" t="str">
        <x:v>RPT-SCR-01149-01</x:v>
      </x:c>
      <x:c r="D10" s="21" t="str">
        <x:v>SCR-01149</x:v>
      </x:c>
      <x:c r="E10" s="21" t="str">
        <x:v>OISAC_SCR01149</x:v>
      </x:c>
      <x:c r="F10" s="21" t="str">
        <x:v>\cite{OISAC_SCR01149}</x:v>
      </x:c>
      <x:c r="G10" s="21" t="str">
        <x:v>RPT02</x:v>
      </x:c>
      <x:c r="H10" s="21" t="str">
        <x:v>conference_version</x:v>
      </x:c>
      <x:c r="I10" s="21" t="str">
        <x:v>THz-over-fiber system with orthogonal chirp division multiplexing for integrated sensing and communication</x:v>
      </x:c>
      <x:c r="J10" s="23" t="str">
        <x:v>2023</x:v>
      </x:c>
      <x:c r="K10" s="21" t="str">
        <x:v>2023 Opto-Electronics and Communications Conference (OECC)</x:v>
      </x:c>
      <x:c r="L10" s="21" t="str">
        <x:v>10.1109/oecc56963.2023.10209717</x:v>
      </x:c>
      <x:c r="M10" s="21" t="str">
        <x:v>https://doi.org/10.1109/oecc56963.2023.10209717</x:v>
      </x:c>
      <x:c r="N10" s="23" t="str">
        <x:v>3</x:v>
      </x:c>
      <x:c r="O10" s="21" t="str">
        <x:v>EVI-R11-SCR01149-013; EVI-R11-SCR01149-014; EVI-R11-SCR01149-015</x:v>
      </x:c>
      <x:c r="P10" s="23" t="str">
        <x:v>1</x:v>
      </x:c>
      <x:c r="Q10" s="21" t="str">
        <x:v>MET-R11-SCR01149-026</x:v>
      </x:c>
      <x:c r="R10" s="23" t="str">
        <x:v>0</x:v>
      </x:c>
      <x:c r="S10" s="21" t="str"/>
      <x:c r="T10" s="23" t="str">
        <x:v>0</x:v>
      </x:c>
      <x:c r="U10" s="23" t="str">
        <x:v>0</x:v>
      </x:c>
      <x:c r="V10" s="23" t="str">
        <x:v>0</x:v>
      </x:c>
      <x:c r="W10" s="23" t="str">
        <x:v>0</x:v>
      </x:c>
      <x:c r="X10" s="21" t="str">
        <x:v>eligible_with_study_context</x:v>
      </x:c>
      <x:c r="Y10" s="21" t="str">
        <x:v>e0ea51c332483f0e7150b25ecfae9a1b1c19232a74b1f484d1277fd8a46da55c</x:v>
      </x:c>
      <x:c r="Z10" s="21" t="str">
        <x:v>Source SCR-01149 supplies 3 evidence, 1 metric, and 0 governed tradeoff rows; use gate: eligible_with_study_context.</x:v>
      </x:c>
    </x:row>
    <x:row r="11" ht="42" customHeight="1">
      <x:c r="A11" s="21" t="str">
        <x:v>STC-ODDM-PHOTONIC-MMW-2024-2025</x:v>
      </x:c>
      <x:c r="B11" s="21" t="str">
        <x:v>OISAC_SCR00973</x:v>
      </x:c>
      <x:c r="C11" s="21" t="str">
        <x:v>RPT-SCR-01005-01</x:v>
      </x:c>
      <x:c r="D11" s="21" t="str">
        <x:v>SCR-01005</x:v>
      </x:c>
      <x:c r="E11" s="21" t="str">
        <x:v>OISAC_SCR01005</x:v>
      </x:c>
      <x:c r="F11" s="21" t="str">
        <x:v>\cite{OISAC_SCR01005}</x:v>
      </x:c>
      <x:c r="G11" s="21" t="str">
        <x:v>RPT02</x:v>
      </x:c>
      <x:c r="H11" s="21" t="str">
        <x:v>conference_version</x:v>
      </x:c>
      <x:c r="I11" s="21" t="str">
        <x:v>Experimental Demonstration of a Photonics-Assisted mmWave ISAC System Using ODDM Waveform</x:v>
      </x:c>
      <x:c r="J11" s="23" t="str">
        <x:v>2026</x:v>
      </x:c>
      <x:c r="K11" s="21" t="str">
        <x:v>2026 Optical Fiber Communications Conference and Exhibition (OFC)</x:v>
      </x:c>
      <x:c r="L11" s="21" t="str"/>
      <x:c r="M11" s="21" t="str">
        <x:v>https://ieeexplore.ieee.org/document/11524336</x:v>
      </x:c>
      <x:c r="N11" s="23" t="str">
        <x:v>2</x:v>
      </x:c>
      <x:c r="O11" s="21" t="str">
        <x:v>EVI-R09-SCR00973-002; EVI-R09-SCR00973-015</x:v>
      </x:c>
      <x:c r="P11" s="23" t="str">
        <x:v>2</x:v>
      </x:c>
      <x:c r="Q11" s="21" t="str">
        <x:v>MET-R09-SCR00973-035; MET-R09-SCR00973-036</x:v>
      </x:c>
      <x:c r="R11" s="23" t="str">
        <x:v>0</x:v>
      </x:c>
      <x:c r="S11" s="21" t="str"/>
      <x:c r="T11" s="23" t="str">
        <x:v>0</x:v>
      </x:c>
      <x:c r="U11" s="23" t="str">
        <x:v>0</x:v>
      </x:c>
      <x:c r="V11" s="23" t="str">
        <x:v>0</x:v>
      </x:c>
      <x:c r="W11" s="23" t="str">
        <x:v>0</x:v>
      </x:c>
      <x:c r="X11" s="21" t="str">
        <x:v>eligible_with_study_context</x:v>
      </x:c>
      <x:c r="Y11" s="21" t="str">
        <x:v>e0ea51c332483f0e7150b25ecfae9a1b1c19232a74b1f484d1277fd8a46da55c</x:v>
      </x:c>
      <x:c r="Z11" s="21" t="str">
        <x:v>Source SCR-01005 supplies 2 evidence, 2 metric, and 0 governed tradeoff rows; use gate: eligible_with_study_context.</x:v>
      </x:c>
    </x:row>
    <x:row r="12" ht="42" customHeight="1">
      <x:c r="A12" s="21" t="str">
        <x:v>STC-OPA-OWISAC-BEAMFORMING-2024-2025</x:v>
      </x:c>
      <x:c r="B12" s="21" t="str">
        <x:v>OISAC_SCR00940</x:v>
      </x:c>
      <x:c r="C12" s="21" t="str">
        <x:v>RPT-SCR-00945-01</x:v>
      </x:c>
      <x:c r="D12" s="21" t="str">
        <x:v>SCR-00945</x:v>
      </x:c>
      <x:c r="E12" s="21" t="str">
        <x:v>OISAC_SCR00945</x:v>
      </x:c>
      <x:c r="F12" s="21" t="str">
        <x:v>\cite{OISAC_SCR00945}</x:v>
      </x:c>
      <x:c r="G12" s="21" t="str">
        <x:v>RPT02</x:v>
      </x:c>
      <x:c r="H12" s="21" t="str">
        <x:v>conference_version</x:v>
      </x:c>
      <x:c r="I12" s="21" t="str">
        <x:v>Optimal Beamforming for Optical Wireless Integrated Sensing and Communication Based on Optical Phased Array</x:v>
      </x:c>
      <x:c r="J12" s="23" t="str">
        <x:v>2025</x:v>
      </x:c>
      <x:c r="K12" s="21" t="str">
        <x:v>ICC 2025 - IEEE International Conference on Communications</x:v>
      </x:c>
      <x:c r="L12" s="21" t="str">
        <x:v>10.1109/icc52391.2025.11160979</x:v>
      </x:c>
      <x:c r="M12" s="21" t="str">
        <x:v>https://doi.org/10.1109/icc52391.2025.11160979</x:v>
      </x:c>
      <x:c r="N12" s="23" t="str">
        <x:v>4</x:v>
      </x:c>
      <x:c r="O12" s="21" t="str">
        <x:v>EVI-R08-SCR00940-002; EVI-R08-SCR00940-013; EVI-R08-SCR00940-014; EVI-R08-SCR00940-017</x:v>
      </x:c>
      <x:c r="P12" s="23" t="str">
        <x:v>5</x:v>
      </x:c>
      <x:c r="Q12" s="21" t="str">
        <x:v>MET-R08-SCR00940-026; MET-R08-SCR00940-027; MET-R08-SCR00940-028; MET-R08-SCR00940-029; MET-R08-SCR00940-030</x:v>
      </x:c>
      <x:c r="R12" s="23" t="str">
        <x:v>0</x:v>
      </x:c>
      <x:c r="S12" s="21" t="str"/>
      <x:c r="T12" s="23" t="str">
        <x:v>0</x:v>
      </x:c>
      <x:c r="U12" s="23" t="str">
        <x:v>0</x:v>
      </x:c>
      <x:c r="V12" s="23" t="str">
        <x:v>0</x:v>
      </x:c>
      <x:c r="W12" s="23" t="str">
        <x:v>0</x:v>
      </x:c>
      <x:c r="X12" s="21" t="str">
        <x:v>eligible_with_study_context</x:v>
      </x:c>
      <x:c r="Y12" s="21" t="str">
        <x:v>e0ea51c332483f0e7150b25ecfae9a1b1c19232a74b1f484d1277fd8a46da55c</x:v>
      </x:c>
      <x:c r="Z12" s="21" t="str">
        <x:v>Source SCR-00945 supplies 4 evidence, 5 metric, and 0 governed tradeoff rows; use gate: eligible_with_study_context.</x:v>
      </x:c>
    </x:row>
    <x:row r="13" ht="42" customHeight="1">
      <x:c r="A13" s="21" t="str">
        <x:v>STC-REALTIME-BIDIR-DMT-THZ-2024-2026</x:v>
      </x:c>
      <x:c r="B13" s="21" t="str">
        <x:v>OISAC_SCR01054</x:v>
      </x:c>
      <x:c r="C13" s="21" t="str">
        <x:v>RPT-SCR-01065-01</x:v>
      </x:c>
      <x:c r="D13" s="21" t="str">
        <x:v>SCR-01065</x:v>
      </x:c>
      <x:c r="E13" s="21" t="str">
        <x:v>OISAC_SCR01065</x:v>
      </x:c>
      <x:c r="F13" s="21" t="str">
        <x:v>\cite{OISAC_SCR01065}</x:v>
      </x:c>
      <x:c r="G13" s="21" t="str">
        <x:v>RPT02</x:v>
      </x:c>
      <x:c r="H13" s="21" t="str">
        <x:v>conference_version</x:v>
      </x:c>
      <x:c r="I13" s="21" t="str">
        <x:v>Real-time Integrated 1.37 Centimetres Range Resolution and 15.5 Gbps Communication in Long-rang Bidirectional Photonic-assisted Terahertz Band System</x:v>
      </x:c>
      <x:c r="J13" s="23" t="str">
        <x:v>2025</x:v>
      </x:c>
      <x:c r="K13" s="21" t="str">
        <x:v>2025 European Conference on Optical Communications (ECOC)</x:v>
      </x:c>
      <x:c r="L13" s="21" t="str">
        <x:v>10.1109/ecoc66593.2025.11263106</x:v>
      </x:c>
      <x:c r="M13" s="21" t="str">
        <x:v>https://doi.org/10.1109/ecoc66593.2025.11263106</x:v>
      </x:c>
      <x:c r="N13" s="23" t="str">
        <x:v>4</x:v>
      </x:c>
      <x:c r="O13" s="21" t="str">
        <x:v>EVI-R13-SCR01054-002; EVI-R13-SCR01054-013; EVI-R13-SCR01054-017; EVI-R13-SCR01054-019</x:v>
      </x:c>
      <x:c r="P13" s="23" t="str">
        <x:v>1</x:v>
      </x:c>
      <x:c r="Q13" s="21" t="str">
        <x:v>MET-R13-SCR01054-021</x:v>
      </x:c>
      <x:c r="R13" s="23" t="str">
        <x:v>0</x:v>
      </x:c>
      <x:c r="S13" s="21" t="str"/>
      <x:c r="T13" s="23" t="str">
        <x:v>0</x:v>
      </x:c>
      <x:c r="U13" s="23" t="str">
        <x:v>0</x:v>
      </x:c>
      <x:c r="V13" s="23" t="str">
        <x:v>0</x:v>
      </x:c>
      <x:c r="W13" s="23" t="str">
        <x:v>0</x:v>
      </x:c>
      <x:c r="X13" s="21" t="str">
        <x:v>eligible_with_study_context</x:v>
      </x:c>
      <x:c r="Y13" s="21" t="str">
        <x:v>e0ea51c332483f0e7150b25ecfae9a1b1c19232a74b1f484d1277fd8a46da55c</x:v>
      </x:c>
      <x:c r="Z13" s="21" t="str">
        <x:v>Source SCR-01065 supplies 4 evidence, 1 metric, and 0 governed tradeoff rows; use gate: eligible_with_study_context.</x:v>
      </x:c>
    </x:row>
    <x:row r="14" ht="42" customHeight="1">
      <x:c r="A14" s="21" t="str">
        <x:v>STC-REALTIME-BIDIR-DMT-THZ-2024-2026</x:v>
      </x:c>
      <x:c r="B14" s="21" t="str">
        <x:v>OISAC_SCR01054</x:v>
      </x:c>
      <x:c r="C14" s="21" t="str">
        <x:v>RPT-SCR-01184-01</x:v>
      </x:c>
      <x:c r="D14" s="21" t="str">
        <x:v>SCR-01184</x:v>
      </x:c>
      <x:c r="E14" s="21" t="str">
        <x:v>OISAC_SCR01184</x:v>
      </x:c>
      <x:c r="F14" s="21" t="str">
        <x:v>\cite{OISAC_SCR01184}</x:v>
      </x:c>
      <x:c r="G14" s="21" t="str">
        <x:v>RPT02</x:v>
      </x:c>
      <x:c r="H14" s="21" t="str">
        <x:v>companion_report</x:v>
      </x:c>
      <x:c r="I14" s="21" t="str">
        <x:v>Real-time integrated 2.04 cm range resolution and 16.14-Gbps bidirectional wireless communication in photonic-assisted millimeter wave band system over 100 m</x:v>
      </x:c>
      <x:c r="J14" s="23" t="str">
        <x:v>2026</x:v>
      </x:c>
      <x:c r="K14" s="21" t="str">
        <x:v>Science China Information Sciences</x:v>
      </x:c>
      <x:c r="L14" s="21" t="str">
        <x:v>10.1007/s11432-025-4704-9</x:v>
      </x:c>
      <x:c r="M14" s="21" t="str">
        <x:v>https://doi.org/10.1007/s11432-025-4704-9</x:v>
      </x:c>
      <x:c r="N14" s="23" t="str">
        <x:v>4</x:v>
      </x:c>
      <x:c r="O14" s="21" t="str">
        <x:v>EVI-R13-SCR01054-003; EVI-R13-SCR01054-014; EVI-R13-SCR01054-018; EVI-R13-SCR01054-020</x:v>
      </x:c>
      <x:c r="P14" s="23" t="str">
        <x:v>1</x:v>
      </x:c>
      <x:c r="Q14" s="21" t="str">
        <x:v>MET-R13-SCR01054-022</x:v>
      </x:c>
      <x:c r="R14" s="23" t="str">
        <x:v>0</x:v>
      </x:c>
      <x:c r="S14" s="21" t="str"/>
      <x:c r="T14" s="23" t="str">
        <x:v>0</x:v>
      </x:c>
      <x:c r="U14" s="23" t="str">
        <x:v>0</x:v>
      </x:c>
      <x:c r="V14" s="23" t="str">
        <x:v>0</x:v>
      </x:c>
      <x:c r="W14" s="23" t="str">
        <x:v>0</x:v>
      </x:c>
      <x:c r="X14" s="21" t="str">
        <x:v>eligible_with_study_context</x:v>
      </x:c>
      <x:c r="Y14" s="21" t="str">
        <x:v>e0ea51c332483f0e7150b25ecfae9a1b1c19232a74b1f484d1277fd8a46da55c</x:v>
      </x:c>
      <x:c r="Z14" s="21" t="str">
        <x:v>Source SCR-01184 supplies 4 evidence, 1 metric, and 0 governed tradeoff rows; use gate: eligible_with_study_context.</x:v>
      </x:c>
    </x:row>
    <x:row r="15" ht="42" customHeight="1">
      <x:c r="A15" s="21" t="str">
        <x:v>STC-SELF-HOMODYNE-MCF-OFDR-2024-2025</x:v>
      </x:c>
      <x:c r="B15" s="21" t="str">
        <x:v>OISAC_SCR01015</x:v>
      </x:c>
      <x:c r="C15" s="21" t="str">
        <x:v>RPT-SCR-00984-01</x:v>
      </x:c>
      <x:c r="D15" s="21" t="str">
        <x:v>SCR-00984</x:v>
      </x:c>
      <x:c r="E15" s="21" t="str">
        <x:v>OISAC_SCR00984</x:v>
      </x:c>
      <x:c r="F15" s="21" t="str">
        <x:v>\cite{OISAC_SCR00984}</x:v>
      </x:c>
      <x:c r="G15" s="21" t="str">
        <x:v>RPT02</x:v>
      </x:c>
      <x:c r="H15" s="21" t="str">
        <x:v>conference_version</x:v>
      </x:c>
      <x:c r="I15" s="21" t="str">
        <x:v>LFM Carrier Enabled Integrated Sensing and Communication in Self-homodyne Coherent Detection Transmission System</x:v>
      </x:c>
      <x:c r="J15" s="23" t="str">
        <x:v>2025</x:v>
      </x:c>
      <x:c r="K15" s="21" t="str">
        <x:v>2025 European Conference on Optical Communications (ECOC)</x:v>
      </x:c>
      <x:c r="L15" s="21" t="str">
        <x:v>10.1109/ecoc66593.2025.11262927</x:v>
      </x:c>
      <x:c r="M15" s="21" t="str">
        <x:v>https://doi.org/10.1109/ecoc66593.2025.11262927</x:v>
      </x:c>
      <x:c r="N15" s="23" t="str">
        <x:v>4</x:v>
      </x:c>
      <x:c r="O15" s="21" t="str">
        <x:v>EVI-R12-SCR01015-014; EVI-R12-SCR01015-015; EVI-R12-SCR01015-016; EVI-R12-SCR01015-017</x:v>
      </x:c>
      <x:c r="P15" s="23" t="str">
        <x:v>2</x:v>
      </x:c>
      <x:c r="Q15" s="21" t="str">
        <x:v>MET-R12-SCR01015-022; MET-R12-SCR01015-023</x:v>
      </x:c>
      <x:c r="R15" s="23" t="str">
        <x:v>0</x:v>
      </x:c>
      <x:c r="S15" s="21" t="str"/>
      <x:c r="T15" s="23" t="str">
        <x:v>0</x:v>
      </x:c>
      <x:c r="U15" s="23" t="str">
        <x:v>0</x:v>
      </x:c>
      <x:c r="V15" s="23" t="str">
        <x:v>0</x:v>
      </x:c>
      <x:c r="W15" s="23" t="str">
        <x:v>0</x:v>
      </x:c>
      <x:c r="X15" s="21" t="str">
        <x:v>eligible_with_study_context</x:v>
      </x:c>
      <x:c r="Y15" s="21" t="str">
        <x:v>e0ea51c332483f0e7150b25ecfae9a1b1c19232a74b1f484d1277fd8a46da55c</x:v>
      </x:c>
      <x:c r="Z15" s="21" t="str">
        <x:v>Source SCR-00984 supplies 4 evidence, 2 metric, and 0 governed tradeoff rows; use gate: eligible_with_study_context.</x:v>
      </x:c>
    </x:row>
    <x:row r="16" ht="42" customHeight="1">
      <x:c r="A16" s="21" t="str">
        <x:v>STC-SEVENCORE-COMB-SH-DAS-2024-2025</x:v>
      </x:c>
      <x:c r="B16" s="21" t="str">
        <x:v>OISAC_SCR00346</x:v>
      </x:c>
      <x:c r="C16" s="21" t="str">
        <x:v>RPT-SCR-01031-01</x:v>
      </x:c>
      <x:c r="D16" s="21" t="str">
        <x:v>SCR-01031</x:v>
      </x:c>
      <x:c r="E16" s="21" t="str">
        <x:v>OISAC_SCR01031</x:v>
      </x:c>
      <x:c r="F16" s="21" t="str">
        <x:v>\cite{OISAC_SCR01031}</x:v>
      </x:c>
      <x:c r="G16" s="21" t="str">
        <x:v>RPT02</x:v>
      </x:c>
      <x:c r="H16" s="21" t="str">
        <x:v>conference_version</x:v>
      </x:c>
      <x:c r="I16" s="21" t="str">
        <x:v>EO comb Enabled 10.56 Tbit/s Self-Homodyne Transmission and Enhanced ϕ-OTDR for ISAC with a 7-Core Fiber</x:v>
      </x:c>
      <x:c r="J16" s="23" t="str">
        <x:v>2025</x:v>
      </x:c>
      <x:c r="K16" s="21" t="str">
        <x:v>2025 Asia Communications and Photonics Conference (ACP)</x:v>
      </x:c>
      <x:c r="L16" s="21" t="str">
        <x:v>10.1109/acp66871.2025.11349820</x:v>
      </x:c>
      <x:c r="M16" s="21" t="str">
        <x:v>https://doi.org/10.1109/acp66871.2025.11349820</x:v>
      </x:c>
      <x:c r="N16" s="23" t="str">
        <x:v>3</x:v>
      </x:c>
      <x:c r="O16" s="21" t="str">
        <x:v>EVI-R02-SCR00346-002; EVI-R02-SCR00346-006; EVI-R02-SCR00346-016</x:v>
      </x:c>
      <x:c r="P16" s="23" t="str">
        <x:v>0</x:v>
      </x:c>
      <x:c r="Q16" s="21" t="str"/>
      <x:c r="R16" s="23" t="str">
        <x:v>0</x:v>
      </x:c>
      <x:c r="S16" s="21" t="str"/>
      <x:c r="T16" s="23" t="str">
        <x:v>0</x:v>
      </x:c>
      <x:c r="U16" s="23" t="str">
        <x:v>0</x:v>
      </x:c>
      <x:c r="V16" s="23" t="str">
        <x:v>0</x:v>
      </x:c>
      <x:c r="W16" s="23" t="str">
        <x:v>0</x:v>
      </x:c>
      <x:c r="X16" s="21" t="str">
        <x:v>eligible_with_study_context</x:v>
      </x:c>
      <x:c r="Y16" s="21" t="str">
        <x:v>e0ea51c332483f0e7150b25ecfae9a1b1c19232a74b1f484d1277fd8a46da55c</x:v>
      </x:c>
      <x:c r="Z16" s="21" t="str">
        <x:v>Source SCR-01031 supplies 3 evidence, 0 metric, and 0 governed tradeoff rows; use gate: eligible_with_study_context.</x:v>
      </x:c>
    </x:row>
    <x:row r="17" ht="42" customHeight="1">
      <x:c r="A17" s="21" t="str">
        <x:v>STC-SF-LFM-OFDM-THZ-2025-2026</x:v>
      </x:c>
      <x:c r="B17" s="21" t="str">
        <x:v>OISAC_SCR00978</x:v>
      </x:c>
      <x:c r="C17" s="21" t="str">
        <x:v>RPT-SCR-01019-01</x:v>
      </x:c>
      <x:c r="D17" s="21" t="str">
        <x:v>SCR-01019</x:v>
      </x:c>
      <x:c r="E17" s="21" t="str">
        <x:v>OISAC_SCR01019</x:v>
      </x:c>
      <x:c r="F17" s="21" t="str">
        <x:v>\cite{OISAC_SCR01019}</x:v>
      </x:c>
      <x:c r="G17" s="21" t="str">
        <x:v>RPT02</x:v>
      </x:c>
      <x:c r="H17" s="21" t="str">
        <x:v>conference_version</x:v>
      </x:c>
      <x:c r="I17" s="21" t="str">
        <x:v>Photonics-assisted THz ISAC System Based on A Time-Frequency Efficient SF-LFM-OFDM Waveform</x:v>
      </x:c>
      <x:c r="J17" s="23" t="str">
        <x:v>2026</x:v>
      </x:c>
      <x:c r="K17" s="21" t="str">
        <x:v>2026 Optical Fiber Communications Conference and Exhibition (OFC)</x:v>
      </x:c>
      <x:c r="L17" s="21" t="str"/>
      <x:c r="M17" s="21" t="str">
        <x:v>https://ieeexplore.ieee.org/document/11525205</x:v>
      </x:c>
      <x:c r="N17" s="23" t="str">
        <x:v>5</x:v>
      </x:c>
      <x:c r="O17" s="21" t="str">
        <x:v>EVI-R10-SCR01019-001; EVI-R10-SCR01019-002; EVI-R10-SCR01019-003; EVI-R10-SCR01019-004; EVI-R10-SCR01019-005</x:v>
      </x:c>
      <x:c r="P17" s="23" t="str">
        <x:v>14</x:v>
      </x:c>
      <x:c r="Q17" s="21" t="str">
        <x:v>MET-R10-SCR01019-001; MET-R10-SCR01019-002; MET-R10-SCR01019-003; MET-R10-SCR01019-004; MET-R10-SCR01019-005; MET-R10-SCR01019-006; MET-R10-SCR01019-007; MET-R10-SCR01019-008; MET-R10-SCR01019-009; MET-R10-SCR01019-010; MET-R10-SCR01019-011; MET-R10-SCR01019-012; MET-R10-SCR01019-013; MET-R10-SCR01019-014</x:v>
      </x:c>
      <x:c r="R17" s="23" t="str">
        <x:v>1</x:v>
      </x:c>
      <x:c r="S17" s="21" t="str">
        <x:v>TRD-R10-SCR01019-001</x:v>
      </x:c>
      <x:c r="T17" s="23" t="str">
        <x:v>0</x:v>
      </x:c>
      <x:c r="U17" s="23" t="str">
        <x:v>0</x:v>
      </x:c>
      <x:c r="V17" s="23" t="str">
        <x:v>0</x:v>
      </x:c>
      <x:c r="W17" s="23" t="str">
        <x:v>0</x:v>
      </x:c>
      <x:c r="X17" s="21" t="str">
        <x:v>eligible_with_study_context</x:v>
      </x:c>
      <x:c r="Y17" s="21" t="str">
        <x:v>e0ea51c332483f0e7150b25ecfae9a1b1c19232a74b1f484d1277fd8a46da55c</x:v>
      </x:c>
      <x:c r="Z17" s="21" t="str">
        <x:v>Source SCR-01019 supplies 5 evidence, 14 metric, and 1 governed tradeoff rows; use gate: eligible_with_study_context.</x:v>
      </x:c>
    </x:row>
    <x:row r="18" ht="42" customHeight="1">
      <x:c r="A18" s="21" t="str">
        <x:v>STC-SUBCARRIER-CHIRP-DBAND-2025</x:v>
      </x:c>
      <x:c r="B18" s="21" t="str">
        <x:v>OISAC_SCR00981</x:v>
      </x:c>
      <x:c r="C18" s="21" t="str">
        <x:v>RPT-SCR-01017-01</x:v>
      </x:c>
      <x:c r="D18" s="21" t="str">
        <x:v>SCR-01017</x:v>
      </x:c>
      <x:c r="E18" s="21" t="str">
        <x:v>OISAC_SCR01017</x:v>
      </x:c>
      <x:c r="F18" s="21" t="str">
        <x:v>\cite{OISAC_SCR01017}</x:v>
      </x:c>
      <x:c r="G18" s="21" t="str">
        <x:v>RPT02</x:v>
      </x:c>
      <x:c r="H18" s="21" t="str">
        <x:v>conference_version</x:v>
      </x:c>
      <x:c r="I18" s="21" t="str">
        <x:v>A Photonics-Assisted D-Band ISAC System Based on A Time-Frequency Efficient Waveform</x:v>
      </x:c>
      <x:c r="J18" s="23" t="str">
        <x:v>2024</x:v>
      </x:c>
      <x:c r="K18" s="21" t="str">
        <x:v>2024 Asia Communications and Photonics Conference (ACP) and International Conference on Information Photonics and Optical Communications (IPOC)</x:v>
      </x:c>
      <x:c r="L18" s="21" t="str">
        <x:v>10.1109/acp/ipoc63121.2024.10809716</x:v>
      </x:c>
      <x:c r="M18" s="21" t="str">
        <x:v>https://doi.org/10.1109/acp/ipoc63121.2024.10809716</x:v>
      </x:c>
      <x:c r="N18" s="23" t="str">
        <x:v>4</x:v>
      </x:c>
      <x:c r="O18" s="21" t="str">
        <x:v>EVI-R10-SCR01017-001; EVI-R10-SCR01017-002; EVI-R10-SCR01017-003; EVI-R10-SCR01017-004</x:v>
      </x:c>
      <x:c r="P18" s="23" t="str">
        <x:v>8</x:v>
      </x:c>
      <x:c r="Q18" s="21" t="str">
        <x:v>MET-R10-SCR01017-001; MET-R10-SCR01017-002; MET-R10-SCR01017-003; MET-R10-SCR01017-004; MET-R10-SCR01017-005; MET-R10-SCR01017-006; MET-R10-SCR01017-007; MET-R10-SCR01017-008</x:v>
      </x:c>
      <x:c r="R18" s="23" t="str">
        <x:v>0</x:v>
      </x:c>
      <x:c r="S18" s="21" t="str"/>
      <x:c r="T18" s="23" t="str">
        <x:v>0</x:v>
      </x:c>
      <x:c r="U18" s="23" t="str">
        <x:v>0</x:v>
      </x:c>
      <x:c r="V18" s="23" t="str">
        <x:v>0</x:v>
      </x:c>
      <x:c r="W18" s="23" t="str">
        <x:v>0</x:v>
      </x:c>
      <x:c r="X18" s="21" t="str">
        <x:v>eligible_with_study_context</x:v>
      </x:c>
      <x:c r="Y18" s="21" t="str">
        <x:v>e0ea51c332483f0e7150b25ecfae9a1b1c19232a74b1f484d1277fd8a46da55c</x:v>
      </x:c>
      <x:c r="Z18" s="21" t="str">
        <x:v>Source SCR-01017 supplies 4 evidence, 8 metric, and 0 governed tradeoff rows; use gate: eligible_with_study_context.</x:v>
      </x:c>
    </x:row>
    <x:row r="19" ht="42" customHeight="1">
      <x:c r="A19" s="21" t="str">
        <x:v>STC-TUNABLE-LASER-THZ-FMCW-2025-2026</x:v>
      </x:c>
      <x:c r="B19" s="21" t="str">
        <x:v>OISAC_SCR00083</x:v>
      </x:c>
      <x:c r="C19" s="21" t="str">
        <x:v>RPT-SCR-00553-01</x:v>
      </x:c>
      <x:c r="D19" s="21" t="str">
        <x:v>SCR-00553</x:v>
      </x:c>
      <x:c r="E19" s="21" t="str">
        <x:v>OISAC_SCR00553</x:v>
      </x:c>
      <x:c r="F19" s="21" t="str">
        <x:v>\cite{OISAC_SCR00553}</x:v>
      </x:c>
      <x:c r="G19" s="21" t="str">
        <x:v>RPT02</x:v>
      </x:c>
      <x:c r="H19" s="21" t="str">
        <x:v>conference_companion_report</x:v>
      </x:c>
      <x:c r="I19" s="21" t="str">
        <x:v>Integrated Sensing and Communication in the Terahertz Band Enabled by Photomixing Using a High-Speed Wavelength Tunable Laser</x:v>
      </x:c>
      <x:c r="J19" s="23" t="str">
        <x:v>2025</x:v>
      </x:c>
      <x:c r="K19" s="21" t="str">
        <x:v>2025 International Symposium on Antennas and Propagation, ISAP 2025</x:v>
      </x:c>
      <x:c r="L19" s="21" t="str">
        <x:v>10.23919/isap63122.2025.11361979</x:v>
      </x:c>
      <x:c r="M19" s="21" t="str">
        <x:v>https://doi.org/10.23919/isap63122.2025.11361979</x:v>
      </x:c>
      <x:c r="N19" s="23" t="str">
        <x:v>19</x:v>
      </x:c>
      <x:c r="O19" s="21" t="str">
        <x:v>P03-E003; P03-E005; P03-E038; P03-E039; P03-E040; P03-E041; P03-E042; P03-E043; P03-E044; P03-E045; P03-E046; P03-E047; P03-E048; P03-E049; P03-E050; P03-E051; P03-E052-00553; P03-E053-00553; P03-E054-00553</x:v>
      </x:c>
      <x:c r="P19" s="23" t="str">
        <x:v>11</x:v>
      </x:c>
      <x:c r="Q19" s="21" t="str">
        <x:v>P03-M001; P03-M002; P03-M003; P03-M004; P03-M005; P03-M006; P03-M007; P03-M008; P03-M009; P03-M010; P03-M011</x:v>
      </x:c>
      <x:c r="R19" s="23" t="str">
        <x:v>1</x:v>
      </x:c>
      <x:c r="S19" s="21" t="str">
        <x:v>P03-T004</x:v>
      </x:c>
      <x:c r="T19" s="23" t="str">
        <x:v>7</x:v>
      </x:c>
      <x:c r="U19" s="23" t="str">
        <x:v>19</x:v>
      </x:c>
      <x:c r="V19" s="23" t="str">
        <x:v>19</x:v>
      </x:c>
      <x:c r="W19" s="23" t="str">
        <x:v>0</x:v>
      </x:c>
      <x:c r="X19" s="21" t="str">
        <x:v>report_specific_guardrail</x:v>
      </x:c>
      <x:c r="Y19" s="21" t="str">
        <x:v>e0ea51c332483f0e7150b25ecfae9a1b1c19232a74b1f484d1277fd8a46da55c</x:v>
      </x:c>
      <x:c r="Z19" s="21" t="str">
        <x:v>Source SCR-00553 supplies 19 evidence, 11 metric, and 1 governed tradeoff rows; use gate: report_specific_guardrail.</x:v>
      </x:c>
    </x:row>
    <x:row r="20" ht="42" customHeight="1">
      <x:c r="A20" s="21" t="str">
        <x:v>STC-WBAND-POLARIZATION-JRC-2023-2025</x:v>
      </x:c>
      <x:c r="B20" s="21" t="str">
        <x:v>OISAC_SCR01075</x:v>
      </x:c>
      <x:c r="C20" s="21" t="str">
        <x:v>RPT-SCR-00886-01</x:v>
      </x:c>
      <x:c r="D20" s="21" t="str">
        <x:v>SCR-00886</x:v>
      </x:c>
      <x:c r="E20" s="21" t="str">
        <x:v>OISAC_SCR00886</x:v>
      </x:c>
      <x:c r="F20" s="21" t="str">
        <x:v>\cite{OISAC_SCR00886}</x:v>
      </x:c>
      <x:c r="G20" s="21" t="str">
        <x:v>RPT02</x:v>
      </x:c>
      <x:c r="H20" s="21" t="str">
        <x:v>conference_version</x:v>
      </x:c>
      <x:c r="I20" s="21" t="str">
        <x:v>Photonics-assisted joint radar and communication system in W band using electromagnetic polarization multiplexing</x:v>
      </x:c>
      <x:c r="J20" s="23" t="str">
        <x:v>2023</x:v>
      </x:c>
      <x:c r="K20" s="21" t="str">
        <x:v>2023 Optical Fiber Communications Conference and Exhibition, OFC 2023 - Proceedings</x:v>
      </x:c>
      <x:c r="L20" s="21" t="str">
        <x:v>10.23919/ofc49934.2023.10117221</x:v>
      </x:c>
      <x:c r="M20" s="21" t="str">
        <x:v>https://doi.org/10.23919/ofc49934.2023.10117221</x:v>
      </x:c>
      <x:c r="N20" s="23" t="str">
        <x:v>2</x:v>
      </x:c>
      <x:c r="O20" s="21" t="str">
        <x:v>EVI-R14-SCR01075-002; EVI-R14-SCR01075-013</x:v>
      </x:c>
      <x:c r="P20" s="23" t="str">
        <x:v>4</x:v>
      </x:c>
      <x:c r="Q20" s="21" t="str">
        <x:v>MET-R14-SCR01075-047; MET-R14-SCR01075-048; MET-R14-SCR01075-049; MET-R14-SCR01075-050</x:v>
      </x:c>
      <x:c r="R20" s="23" t="str">
        <x:v>0</x:v>
      </x:c>
      <x:c r="S20" s="21" t="str"/>
      <x:c r="T20" s="23" t="str">
        <x:v>0</x:v>
      </x:c>
      <x:c r="U20" s="23" t="str">
        <x:v>0</x:v>
      </x:c>
      <x:c r="V20" s="23" t="str">
        <x:v>0</x:v>
      </x:c>
      <x:c r="W20" s="23" t="str">
        <x:v>0</x:v>
      </x:c>
      <x:c r="X20" s="21" t="str">
        <x:v>eligible_with_study_context</x:v>
      </x:c>
      <x:c r="Y20" s="21" t="str">
        <x:v>e0ea51c332483f0e7150b25ecfae9a1b1c19232a74b1f484d1277fd8a46da55c</x:v>
      </x:c>
      <x:c r="Z20" s="21" t="str">
        <x:v>Source SCR-00886 supplies 2 evidence, 4 metric, and 0 governed tradeoff rows; use gate: eligible_with_study_context.</x:v>
      </x:c>
    </x:row>
    <x:row r="21" ht="42" customHeight="1">
      <x:c r="A21" s="21" t="str">
        <x:v>STC-WBAND-TFDM-DONG-2022-2024</x:v>
      </x:c>
      <x:c r="B21" s="21" t="str">
        <x:v>OISAC_SCR00966</x:v>
      </x:c>
      <x:c r="C21" s="21" t="str">
        <x:v>RPT-SCR-00731-01</x:v>
      </x:c>
      <x:c r="D21" s="21" t="str">
        <x:v>SCR-00731</x:v>
      </x:c>
      <x:c r="E21" s="21" t="str">
        <x:v>OISAC_SCR00731</x:v>
      </x:c>
      <x:c r="F21" s="21" t="str">
        <x:v>\cite{OISAC_SCR00731}</x:v>
      </x:c>
      <x:c r="G21" s="21" t="str">
        <x:v>RPT02</x:v>
      </x:c>
      <x:c r="H21" s="21" t="str">
        <x:v>conference_version</x:v>
      </x:c>
      <x:c r="I21" s="21" t="str">
        <x:v>Photonic-based W-band Flexible TFDM Integrated Sensing and Communication System for Fiber-wireless Network</x:v>
      </x:c>
      <x:c r="J21" s="23" t="str">
        <x:v>2023</x:v>
      </x:c>
      <x:c r="K21" s="21" t="str">
        <x:v>2023 Optical Fiber Communications Conference and Exhibition, OFC 2023 - Proceedings</x:v>
      </x:c>
      <x:c r="L21" s="21" t="str">
        <x:v>10.23919/ofc49934.2023.10116069</x:v>
      </x:c>
      <x:c r="M21" s="21" t="str">
        <x:v>https://doi.org/10.23919/ofc49934.2023.10116069</x:v>
      </x:c>
      <x:c r="N21" s="23" t="str">
        <x:v>2</x:v>
      </x:c>
      <x:c r="O21" s="21" t="str">
        <x:v>EVI-R09-SCR00731-001; EVI-R09-SCR00731-002</x:v>
      </x:c>
      <x:c r="P21" s="23" t="str">
        <x:v>4</x:v>
      </x:c>
      <x:c r="Q21" s="21" t="str">
        <x:v>MET-R09-SCR00731-001; MET-R09-SCR00731-002; MET-R09-SCR00731-004; MET-R09-SCR00731-005</x:v>
      </x:c>
      <x:c r="R21" s="23" t="str">
        <x:v>0</x:v>
      </x:c>
      <x:c r="S21" s="21" t="str"/>
      <x:c r="T21" s="23" t="str">
        <x:v>0</x:v>
      </x:c>
      <x:c r="U21" s="23" t="str">
        <x:v>0</x:v>
      </x:c>
      <x:c r="V21" s="23" t="str">
        <x:v>0</x:v>
      </x:c>
      <x:c r="W21" s="23" t="str">
        <x:v>0</x:v>
      </x:c>
      <x:c r="X21" s="21" t="str">
        <x:v>eligible_with_study_context</x:v>
      </x:c>
      <x:c r="Y21" s="21" t="str">
        <x:v>e0ea51c332483f0e7150b25ecfae9a1b1c19232a74b1f484d1277fd8a46da55c</x:v>
      </x:c>
      <x:c r="Z21" s="21" t="str">
        <x:v>Source SCR-00731 supplies 2 evidence, 4 metric, and 0 governed tradeoff rows; use gate: eligible_with_study_context.</x:v>
      </x:c>
    </x:row>
    <x:row r="22" ht="42" customHeight="1">
      <x:c r="A22" s="22" t="str">
        <x:v>STC-WBAND-TFDM-DONG-2022-2024</x:v>
      </x:c>
      <x:c r="B22" s="22" t="str">
        <x:v>OISAC_SCR00966</x:v>
      </x:c>
      <x:c r="C22" s="22" t="str">
        <x:v>RPT-SCR-00784-01</x:v>
      </x:c>
      <x:c r="D22" s="22" t="str">
        <x:v>SCR-00784</x:v>
      </x:c>
      <x:c r="E22" s="22" t="str">
        <x:v>OISAC_SCR00784</x:v>
      </x:c>
      <x:c r="F22" s="22" t="str">
        <x:v>\cite{OISAC_SCR00784}</x:v>
      </x:c>
      <x:c r="G22" s="22" t="str">
        <x:v>RPT02</x:v>
      </x:c>
      <x:c r="H22" s="22" t="str">
        <x:v>companion_report</x:v>
      </x:c>
      <x:c r="I22" s="22" t="str">
        <x:v>Demonstration of photonics-based flexible integration of sensing and communication with adaptive waveforms for a W-band fiber-wireless integrated network</x:v>
      </x:c>
      <x:c r="J22" s="24" t="str">
        <x:v>2022</x:v>
      </x:c>
      <x:c r="K22" s="22" t="str">
        <x:v>Optics Express</x:v>
      </x:c>
      <x:c r="L22" s="22" t="str">
        <x:v>10.1364/oe.472693</x:v>
      </x:c>
      <x:c r="M22" s="22" t="str">
        <x:v>https://doi.org/10.1364/oe.472693</x:v>
      </x:c>
      <x:c r="N22" s="24" t="str">
        <x:v>10</x:v>
      </x:c>
      <x:c r="O22" s="22" t="str">
        <x:v>EVI-R09-SCR00784-001; EVI-R09-SCR00784-002; EVI-R09-SCR00784-003; EVI-R09-SCR00784-004; EVI-R09-SCR00784-005; EVI-R09-SCR00784-006; EVI-R09-SCR00784-007; EVI-R09-SCR00784-008; EVI-R09-SCR00784-009; EVI-R09-SCR00784-010</x:v>
      </x:c>
      <x:c r="P22" s="24" t="str">
        <x:v>17</x:v>
      </x:c>
      <x:c r="Q22" s="22" t="str">
        <x:v>MET-R09-SCR00784-001; MET-R09-SCR00784-002; MET-R09-SCR00784-003; MET-R09-SCR00784-004; MET-R09-SCR00784-005; MET-R09-SCR00784-006; MET-R09-SCR00784-007; MET-R09-SCR00784-008; MET-R09-SCR00784-009; MET-R09-SCR00784-010; MET-R09-SCR00784-012; MET-R09-SCR00784-013; MET-R09-SCR00784-014; MET-R09-SCR00784-015; MET-R09-SCR00784-016; MET-R09-SCR00784-017; MET-R09-SCR00784-018</x:v>
      </x:c>
      <x:c r="R22" s="24" t="str">
        <x:v>2</x:v>
      </x:c>
      <x:c r="S22" s="22" t="str">
        <x:v>TRD-R09-SCR00784-001; TRD-R09-SCR00784-002</x:v>
      </x:c>
      <x:c r="T22" s="24" t="str">
        <x:v>0</x:v>
      </x:c>
      <x:c r="U22" s="24" t="str">
        <x:v>0</x:v>
      </x:c>
      <x:c r="V22" s="24" t="str">
        <x:v>0</x:v>
      </x:c>
      <x:c r="W22" s="24" t="str">
        <x:v>0</x:v>
      </x:c>
      <x:c r="X22" s="22" t="str">
        <x:v>eligible_with_study_context</x:v>
      </x:c>
      <x:c r="Y22" s="22" t="str">
        <x:v>e0ea51c332483f0e7150b25ecfae9a1b1c19232a74b1f484d1277fd8a46da55c</x:v>
      </x:c>
      <x:c r="Z22" s="22" t="str">
        <x:v>Source SCR-00784 supplies 10 evidence, 17 metric, and 2 governed tradeoff rows; use gate: eligible_with_study_context.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0168bb6ffac342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42" hidden="0" customWidth="1"/>
    <x:col min="15" max="15" width="42" hidden="0" customWidth="1"/>
    <x:col min="16" max="16" width="22" hidden="0" customWidth="1"/>
    <x:col min="17" max="17" width="22" hidden="0" customWidth="1"/>
    <x:col min="18" max="18" width="24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4" hidden="0" customWidth="1"/>
    <x:col min="24" max="24" width="48" hidden="0" customWidth="1"/>
  </x:cols>
  <x:sheetData>
    <x:row r="1" ht="38" customHeight="1">
      <x:c r="A1" s="20" t="str">
        <x:v>study_id</x:v>
      </x:c>
      <x:c r="B1" s="20" t="str">
        <x:v>companion_report_id</x:v>
      </x:c>
      <x:c r="C1" s="20" t="str">
        <x:v>companion_screening_record_id</x:v>
      </x:c>
      <x:c r="D1" s="20" t="str">
        <x:v>companion_report_citation_key</x:v>
      </x:c>
      <x:c r="E1" s="20" t="str">
        <x:v>metric_record_id</x:v>
      </x:c>
      <x:c r="F1" s="20" t="str">
        <x:v>metric_domain</x:v>
      </x:c>
      <x:c r="G1" s="20" t="str">
        <x:v>metric_family_code</x:v>
      </x:c>
      <x:c r="H1" s="20" t="str">
        <x:v>metric_name_reported</x:v>
      </x:c>
      <x:c r="I1" s="20" t="str">
        <x:v>value_numeric</x:v>
      </x:c>
      <x:c r="J1" s="20" t="str">
        <x:v>value_low</x:v>
      </x:c>
      <x:c r="K1" s="20" t="str">
        <x:v>value_high</x:v>
      </x:c>
      <x:c r="L1" s="20" t="str">
        <x:v>unit_reported</x:v>
      </x:c>
      <x:c r="M1" s="20" t="str">
        <x:v>condition_set_id</x:v>
      </x:c>
      <x:c r="N1" s="20" t="str">
        <x:v>scenario_summary</x:v>
      </x:c>
      <x:c r="O1" s="20" t="str">
        <x:v>baseline_comparator</x:v>
      </x:c>
      <x:c r="P1" s="20" t="str">
        <x:v>source_locator</x:v>
      </x:c>
      <x:c r="Q1" s="20" t="str">
        <x:v>conflict_flag</x:v>
      </x:c>
      <x:c r="R1" s="20" t="str">
        <x:v>final_claim_status</x:v>
      </x:c>
      <x:c r="S1" s="20" t="str">
        <x:v>final_survey_use_class</x:v>
      </x:c>
      <x:c r="T1" s="20" t="str">
        <x:v>final_comparison_admissibility</x:v>
      </x:c>
      <x:c r="U1" s="20" t="str">
        <x:v>cross_study_quantitative_comparison_allowed</x:v>
      </x:c>
      <x:c r="V1" s="20" t="str">
        <x:v>final_reason_code</x:v>
      </x:c>
      <x:c r="W1" s="20" t="str">
        <x:v>synthesis_use_gate</x:v>
      </x:c>
      <x:c r="X1" s="20" t="str">
        <x:v>guardrail_instruction</x:v>
      </x:c>
    </x:row>
    <x:row r="2" ht="42" customHeight="1">
      <x:c r="A2" s="21" t="str">
        <x:v>STC-ENDOGENOUS-TS-FRFT-DAS-2025</x:v>
      </x:c>
      <x:c r="B2" s="21" t="str">
        <x:v>RPT-SCR-00099-01</x:v>
      </x:c>
      <x:c r="C2" s="21" t="str">
        <x:v>SCR-00099</x:v>
      </x:c>
      <x:c r="D2" s="21" t="str">
        <x:v>OISAC_SCR00099</x:v>
      </x:c>
      <x:c r="E2" s="21" t="str">
        <x:v>MET-STCENDOGENOUS-G2-018</x:v>
      </x:c>
      <x:c r="F2" s="21" t="str">
        <x:v>communication</x:v>
      </x:c>
      <x:c r="G2" s="21" t="str">
        <x:v>SNR</x:v>
      </x:c>
      <x:c r="H2" s="21" t="str">
        <x:v>FrFT peak-to-noise-floor ratio</x:v>
      </x:c>
      <x:c r="I2" s="21" t="str">
        <x:v>39.8</x:v>
      </x:c>
      <x:c r="J2" s="21" t="str"/>
      <x:c r="K2" s="21" t="str"/>
      <x:c r="L2" s="21" t="str">
        <x:v>dB</x:v>
      </x:c>
      <x:c r="M2" s="21" t="str">
        <x:v>COND-ENDOGENOUS-FRFT-COMPANION</x:v>
      </x:c>
      <x:c r="N2" s="21" t="str">
        <x:v>Conference-report matched FrFT extraction.</x:v>
      </x:c>
      <x:c r="O2" s="21" t="str"/>
      <x:c r="P2" s="21" t="str">
        <x:v>PDF p. 1-2; Principle; Fig. 1(d)</x:v>
      </x:c>
      <x:c r="Q2" s="21" t="str">
        <x:v>yes_report_specific_difference</x:v>
      </x:c>
      <x:c r="R2" s="21" t="str">
        <x:v>supported_with_source_specific_guardrail</x:v>
      </x:c>
      <x:c r="S2" s="21" t="str">
        <x:v>eligible_quantitative</x:v>
      </x:c>
      <x:c r="T2" s="21" t="str">
        <x:v>not_admissible</x:v>
      </x:c>
      <x:c r="U2" s="21" t="str">
        <x:v>no</x:v>
      </x:c>
      <x:c r="V2" s="21" t="str">
        <x:v>metric_scope_or_definition_guardrail</x:v>
      </x:c>
      <x:c r="W2" s="21" t="str">
        <x:v>retain_report_specific_only</x:v>
      </x:c>
      <x:c r="X2" s="21" t="str">
        <x:v>Keep this value report specific; do not merge, average, substitute, or normalize it across primary and companion reports.</x:v>
      </x:c>
    </x:row>
    <x:row r="3" ht="42" customHeight="1">
      <x:c r="A3" s="21" t="str">
        <x:v>STC-ENDOGENOUS-TS-FRFT-DAS-2025</x:v>
      </x:c>
      <x:c r="B3" s="21" t="str">
        <x:v>RPT-SCR-00099-01</x:v>
      </x:c>
      <x:c r="C3" s="21" t="str">
        <x:v>SCR-00099</x:v>
      </x:c>
      <x:c r="D3" s="21" t="str">
        <x:v>OISAC_SCR00099</x:v>
      </x:c>
      <x:c r="E3" s="21" t="str">
        <x:v>MET-STCENDOGENOUS-G2-019</x:v>
      </x:c>
      <x:c r="F3" s="21" t="str">
        <x:v>communication</x:v>
      </x:c>
      <x:c r="G3" s="21" t="str">
        <x:v>other</x:v>
      </x:c>
      <x:c r="H3" s="21" t="str">
        <x:v>Peak-to-side-lobe ratio</x:v>
      </x:c>
      <x:c r="I3" s="21" t="str">
        <x:v>31.1</x:v>
      </x:c>
      <x:c r="J3" s="21" t="str"/>
      <x:c r="K3" s="21" t="str"/>
      <x:c r="L3" s="21" t="str">
        <x:v>dB</x:v>
      </x:c>
      <x:c r="M3" s="21" t="str">
        <x:v>COND-ENDOGENOUS-FRFT-COMPANION</x:v>
      </x:c>
      <x:c r="N3" s="21" t="str">
        <x:v>Conference-report FrFT peak.</x:v>
      </x:c>
      <x:c r="O3" s="21" t="str"/>
      <x:c r="P3" s="21" t="str">
        <x:v>PDF p. 1-2; Principle; Fig. 1(e)</x:v>
      </x:c>
      <x:c r="Q3" s="21" t="str">
        <x:v>yes_report_specific_difference</x:v>
      </x:c>
      <x:c r="R3" s="21" t="str">
        <x:v>supported_with_source_specific_guardrail</x:v>
      </x:c>
      <x:c r="S3" s="21" t="str">
        <x:v>eligible_quantitative</x:v>
      </x:c>
      <x:c r="T3" s="21" t="str">
        <x:v>not_admissible</x:v>
      </x:c>
      <x:c r="U3" s="21" t="str">
        <x:v>no</x:v>
      </x:c>
      <x:c r="V3" s="21" t="str">
        <x:v>metric_scope_or_definition_guardrail</x:v>
      </x:c>
      <x:c r="W3" s="21" t="str">
        <x:v>retain_report_specific_only</x:v>
      </x:c>
      <x:c r="X3" s="21" t="str">
        <x:v>Keep this value report specific; do not merge, average, substitute, or normalize it across primary and companion reports.</x:v>
      </x:c>
    </x:row>
    <x:row r="4" ht="42" customHeight="1">
      <x:c r="A4" s="21" t="str">
        <x:v>STC-ENDOGENOUS-TS-FRFT-DAS-2025</x:v>
      </x:c>
      <x:c r="B4" s="21" t="str">
        <x:v>RPT-SCR-00099-01</x:v>
      </x:c>
      <x:c r="C4" s="21" t="str">
        <x:v>SCR-00099</x:v>
      </x:c>
      <x:c r="D4" s="21" t="str">
        <x:v>OISAC_SCR00099</x:v>
      </x:c>
      <x:c r="E4" s="21" t="str">
        <x:v>MET-STCENDOGENOUS-G2-020</x:v>
      </x:c>
      <x:c r="F4" s="21" t="str">
        <x:v>sensing</x:v>
      </x:c>
      <x:c r="G4" s="21" t="str">
        <x:v>other</x:v>
      </x:c>
      <x:c r="H4" s="21" t="str">
        <x:v>Lowest synthesized intensity above noise floor</x:v>
      </x:c>
      <x:c r="I4" s="21" t="str">
        <x:v>4.9</x:v>
      </x:c>
      <x:c r="J4" s="21" t="str"/>
      <x:c r="K4" s="21" t="str"/>
      <x:c r="L4" s="21" t="str">
        <x:v>dB</x:v>
      </x:c>
      <x:c r="M4" s="21" t="str">
        <x:v>COND-ENDOGENOUS-FADING-COMPANION</x:v>
      </x:c>
      <x:c r="N4" s="21" t="str">
        <x:v>Dual chirp TS/dual FrFT conference result.</x:v>
      </x:c>
      <x:c r="O4" s="21" t="str"/>
      <x:c r="P4" s="21" t="str">
        <x:v>PDF p. 3; Experimental results; Fig. 3(e)</x:v>
      </x:c>
      <x:c r="Q4" s="21" t="str">
        <x:v>yes_report_specific_difference</x:v>
      </x:c>
      <x:c r="R4" s="21" t="str">
        <x:v>supported_with_source_specific_guardrail</x:v>
      </x:c>
      <x:c r="S4" s="21" t="str">
        <x:v>eligible_quantitative</x:v>
      </x:c>
      <x:c r="T4" s="21" t="str">
        <x:v>not_admissible</x:v>
      </x:c>
      <x:c r="U4" s="21" t="str">
        <x:v>no</x:v>
      </x:c>
      <x:c r="V4" s="21" t="str">
        <x:v>metric_scope_or_definition_guardrail</x:v>
      </x:c>
      <x:c r="W4" s="21" t="str">
        <x:v>retain_report_specific_only</x:v>
      </x:c>
      <x:c r="X4" s="21" t="str">
        <x:v>Keep this value report specific; do not merge, average, substitute, or normalize it across primary and companion reports.</x:v>
      </x:c>
    </x:row>
    <x:row r="5" ht="42" customHeight="1">
      <x:c r="A5" s="21" t="str">
        <x:v>STC-ENDOGENOUS-TS-FRFT-DAS-2025</x:v>
      </x:c>
      <x:c r="B5" s="21" t="str">
        <x:v>RPT-SCR-00099-01</x:v>
      </x:c>
      <x:c r="C5" s="21" t="str">
        <x:v>SCR-00099</x:v>
      </x:c>
      <x:c r="D5" s="21" t="str">
        <x:v>OISAC_SCR00099</x:v>
      </x:c>
      <x:c r="E5" s="21" t="str">
        <x:v>MET-STCENDOGENOUS-G2-021</x:v>
      </x:c>
      <x:c r="F5" s="21" t="str">
        <x:v>sensing</x:v>
      </x:c>
      <x:c r="G5" s="21" t="str">
        <x:v>other</x:v>
      </x:c>
      <x:c r="H5" s="21" t="str">
        <x:v>Companion intensity-fluctuation reduction</x:v>
      </x:c>
      <x:c r="I5" s="21" t="str"/>
      <x:c r="J5" s="21" t="str"/>
      <x:c r="K5" s="21" t="str"/>
      <x:c r="L5" s="21" t="str">
        <x:v>dB</x:v>
      </x:c>
      <x:c r="M5" s="21" t="str">
        <x:v>COND-ENDOGENOUS-FADING-COMPANION</x:v>
      </x:c>
      <x:c r="N5" s="21" t="str">
        <x:v>Conference companion fading comparison.</x:v>
      </x:c>
      <x:c r="O5" s="21" t="str"/>
      <x:c r="P5" s="21" t="str">
        <x:v>PDF p. 3; Experimental results; Conclusions; Fig. 3(e)</x:v>
      </x:c>
      <x:c r="Q5" s="21" t="str">
        <x:v>yes_report_specific_difference</x:v>
      </x:c>
      <x:c r="R5" s="21" t="str">
        <x:v>supported_with_source_specific_guardrail</x:v>
      </x:c>
      <x:c r="S5" s="21" t="str">
        <x:v>eligible_quantitative</x:v>
      </x:c>
      <x:c r="T5" s="21" t="str">
        <x:v>not_admissible</x:v>
      </x:c>
      <x:c r="U5" s="21" t="str">
        <x:v>no</x:v>
      </x:c>
      <x:c r="V5" s="21" t="str">
        <x:v>metric_scope_or_definition_guardrail</x:v>
      </x:c>
      <x:c r="W5" s="21" t="str">
        <x:v>retain_report_specific_only</x:v>
      </x:c>
      <x:c r="X5" s="21" t="str">
        <x:v>Keep this value report specific; do not merge, average, substitute, or normalize it across primary and companion reports.</x:v>
      </x:c>
    </x:row>
    <x:row r="6" ht="42" customHeight="1">
      <x:c r="A6" s="21" t="str">
        <x:v>STC-ENDOGENOUS-TS-FRFT-DAS-2025</x:v>
      </x:c>
      <x:c r="B6" s="21" t="str">
        <x:v>RPT-SCR-00099-01</x:v>
      </x:c>
      <x:c r="C6" s="21" t="str">
        <x:v>SCR-00099</x:v>
      </x:c>
      <x:c r="D6" s="21" t="str">
        <x:v>OISAC_SCR00099</x:v>
      </x:c>
      <x:c r="E6" s="21" t="str">
        <x:v>MET-STCENDOGENOUS-G2-022</x:v>
      </x:c>
      <x:c r="F6" s="21" t="str">
        <x:v>sensing</x:v>
      </x:c>
      <x:c r="G6" s="21" t="str">
        <x:v>sensing_SNR</x:v>
      </x:c>
      <x:c r="H6" s="21" t="str">
        <x:v>500-Hz vibration PSD SNR</x:v>
      </x:c>
      <x:c r="I6" s="21" t="str">
        <x:v>20.3</x:v>
      </x:c>
      <x:c r="J6" s="21" t="str"/>
      <x:c r="K6" s="21" t="str"/>
      <x:c r="L6" s="21" t="str">
        <x:v>dB</x:v>
      </x:c>
      <x:c r="M6" s="21" t="str">
        <x:v>COND-ENDOGENOUS-VIBRATION-COMPANION</x:v>
      </x:c>
      <x:c r="N6" s="21" t="str">
        <x:v>500-Hz vibration; 1-m resolution.</x:v>
      </x:c>
      <x:c r="O6" s="21" t="str"/>
      <x:c r="P6" s="21" t="str">
        <x:v>PDF p. 3; Experimental results; Fig. 3(h)</x:v>
      </x:c>
      <x:c r="Q6" s="21" t="str">
        <x:v>yes_report_specific_difference</x:v>
      </x:c>
      <x:c r="R6" s="21" t="str">
        <x:v>supported_with_source_specific_guardrail</x:v>
      </x:c>
      <x:c r="S6" s="21" t="str">
        <x:v>eligible_quantitative</x:v>
      </x:c>
      <x:c r="T6" s="21" t="str">
        <x:v>not_admissible</x:v>
      </x:c>
      <x:c r="U6" s="21" t="str">
        <x:v>no</x:v>
      </x:c>
      <x:c r="V6" s="21" t="str">
        <x:v>metric_scope_or_definition_guardrail</x:v>
      </x:c>
      <x:c r="W6" s="21" t="str">
        <x:v>retain_report_specific_only</x:v>
      </x:c>
      <x:c r="X6" s="21" t="str">
        <x:v>Keep this value report specific; do not merge, average, substitute, or normalize it across primary and companion reports.</x:v>
      </x:c>
    </x:row>
    <x:row r="7" ht="42" customHeight="1">
      <x:c r="A7" s="21" t="str">
        <x:v>STC-TUNABLE-LASER-THZ-FMCW-2025-2026</x:v>
      </x:c>
      <x:c r="B7" s="21" t="str">
        <x:v>RPT-SCR-00553-01</x:v>
      </x:c>
      <x:c r="C7" s="21" t="str">
        <x:v>SCR-00553</x:v>
      </x:c>
      <x:c r="D7" s="21" t="str">
        <x:v>OISAC_SCR00553</x:v>
      </x:c>
      <x:c r="E7" s="21" t="str">
        <x:v>P03-M001</x:v>
      </x:c>
      <x:c r="F7" s="21" t="str">
        <x:v>joint</x:v>
      </x:c>
      <x:c r="G7" s="21" t="str">
        <x:v>optical_frequency</x:v>
      </x:c>
      <x:c r="H7" s="21" t="str">
        <x:v>RTF-LD optical sweep range</x:v>
      </x:c>
      <x:c r="I7" s="21" t="str"/>
      <x:c r="J7" s="21" t="str">
        <x:v>192.5132</x:v>
      </x:c>
      <x:c r="K7" s="21" t="str">
        <x:v>192.5227</x:v>
      </x:c>
      <x:c r="L7" s="21" t="str">
        <x:v>THz</x:v>
      </x:c>
      <x:c r="M7" s="21" t="str">
        <x:v>C-SCR00553-JW</x:v>
      </x:c>
      <x:c r="N7" s="21" t="str">
        <x:v>2025 joint waveform</x:v>
      </x:c>
      <x:c r="O7" s="21" t="str"/>
      <x:c r="P7" s="21" t="str">
        <x:v>PDF p. 2; Experiment</x:v>
      </x:c>
      <x:c r="Q7" s="21" t="str">
        <x:v>yes</x:v>
      </x:c>
      <x:c r="R7" s="21" t="str">
        <x:v>supported_with_source_specific_guardrail</x:v>
      </x:c>
      <x:c r="S7" s="21" t="str">
        <x:v>eligible_quantitative</x:v>
      </x:c>
      <x:c r="T7" s="21" t="str">
        <x:v>not_admissible</x:v>
      </x:c>
      <x:c r="U7" s="21" t="str">
        <x:v>no</x:v>
      </x:c>
      <x:c r="V7" s="21" t="str">
        <x:v>metric_scope_or_definition_guardrail</x:v>
      </x:c>
      <x:c r="W7" s="21" t="str">
        <x:v>retain_report_specific_only</x:v>
      </x:c>
      <x:c r="X7" s="21" t="str">
        <x:v>Keep this value report specific; do not merge, average, substitute, or normalize it across primary and companion reports.</x:v>
      </x:c>
    </x:row>
    <x:row r="8" ht="42" customHeight="1">
      <x:c r="A8" s="21" t="str">
        <x:v>STC-TUNABLE-LASER-THZ-FMCW-2025-2026</x:v>
      </x:c>
      <x:c r="B8" s="21" t="str">
        <x:v>RPT-SCR-00553-01</x:v>
      </x:c>
      <x:c r="C8" s="21" t="str">
        <x:v>SCR-00553</x:v>
      </x:c>
      <x:c r="D8" s="21" t="str">
        <x:v>OISAC_SCR00553</x:v>
      </x:c>
      <x:c r="E8" s="21" t="str">
        <x:v>P03-M002</x:v>
      </x:c>
      <x:c r="F8" s="21" t="str">
        <x:v>sensing</x:v>
      </x:c>
      <x:c r="G8" s="21" t="str">
        <x:v>FMCW_bandwidth</x:v>
      </x:c>
      <x:c r="H8" s="21" t="str">
        <x:v>FMCW sweep bandwidth</x:v>
      </x:c>
      <x:c r="I8" s="21" t="str">
        <x:v>9.5</x:v>
      </x:c>
      <x:c r="J8" s="21" t="str"/>
      <x:c r="K8" s="21" t="str"/>
      <x:c r="L8" s="21" t="str">
        <x:v>GHz</x:v>
      </x:c>
      <x:c r="M8" s="21" t="str">
        <x:v>C-SCR00553-JW</x:v>
      </x:c>
      <x:c r="N8" s="21" t="str">
        <x:v>2025 joint waveform</x:v>
      </x:c>
      <x:c r="O8" s="21" t="str"/>
      <x:c r="P8" s="21" t="str">
        <x:v>PDF p. 1-2; Abstract; Results; Figure 2</x:v>
      </x:c>
      <x:c r="Q8" s="21" t="str">
        <x:v>yes</x:v>
      </x:c>
      <x:c r="R8" s="21" t="str">
        <x:v>supported_with_source_specific_guardrail</x:v>
      </x:c>
      <x:c r="S8" s="21" t="str">
        <x:v>eligible_quantitative</x:v>
      </x:c>
      <x:c r="T8" s="21" t="str">
        <x:v>conditionally_admissible</x:v>
      </x:c>
      <x:c r="U8" s="21" t="str">
        <x:v>no</x:v>
      </x:c>
      <x:c r="V8" s="21" t="str">
        <x:v>metric_scope_or_definition_guardrail</x:v>
      </x:c>
      <x:c r="W8" s="21" t="str">
        <x:v>retain_report_specific_only</x:v>
      </x:c>
      <x:c r="X8" s="21" t="str">
        <x:v>Keep this value report specific; do not merge, average, substitute, or normalize it across primary and companion reports.</x:v>
      </x:c>
    </x:row>
    <x:row r="9" ht="42" customHeight="1">
      <x:c r="A9" s="21" t="str">
        <x:v>STC-TUNABLE-LASER-THZ-FMCW-2025-2026</x:v>
      </x:c>
      <x:c r="B9" s="21" t="str">
        <x:v>RPT-SCR-00553-01</x:v>
      </x:c>
      <x:c r="C9" s="21" t="str">
        <x:v>SCR-00553</x:v>
      </x:c>
      <x:c r="D9" s="21" t="str">
        <x:v>OISAC_SCR00553</x:v>
      </x:c>
      <x:c r="E9" s="21" t="str">
        <x:v>P03-M003</x:v>
      </x:c>
      <x:c r="F9" s="21" t="str">
        <x:v>joint</x:v>
      </x:c>
      <x:c r="G9" s="21" t="str">
        <x:v>THz_frequency</x:v>
      </x:c>
      <x:c r="H9" s="21" t="str">
        <x:v>Generated THz frequency range</x:v>
      </x:c>
      <x:c r="I9" s="21" t="str"/>
      <x:c r="J9" s="21" t="str">
        <x:v>296.2</x:v>
      </x:c>
      <x:c r="K9" s="21" t="str">
        <x:v>305.7</x:v>
      </x:c>
      <x:c r="L9" s="21" t="str">
        <x:v>GHz</x:v>
      </x:c>
      <x:c r="M9" s="21" t="str">
        <x:v>C-SCR00553-JW</x:v>
      </x:c>
      <x:c r="N9" s="21" t="str">
        <x:v>2025 joint waveform</x:v>
      </x:c>
      <x:c r="O9" s="21" t="str"/>
      <x:c r="P9" s="21" t="str">
        <x:v>PDF p. 2; Results and Discussions; Figure 2</x:v>
      </x:c>
      <x:c r="Q9" s="21" t="str">
        <x:v>yes</x:v>
      </x:c>
      <x:c r="R9" s="21" t="str">
        <x:v>supported_with_source_specific_guardrail</x:v>
      </x:c>
      <x:c r="S9" s="21" t="str">
        <x:v>eligible_quantitative</x:v>
      </x:c>
      <x:c r="T9" s="21" t="str">
        <x:v>not_admissible</x:v>
      </x:c>
      <x:c r="U9" s="21" t="str">
        <x:v>no</x:v>
      </x:c>
      <x:c r="V9" s="21" t="str">
        <x:v>metric_scope_or_definition_guardrail</x:v>
      </x:c>
      <x:c r="W9" s="21" t="str">
        <x:v>retain_report_specific_only</x:v>
      </x:c>
      <x:c r="X9" s="21" t="str">
        <x:v>Keep this value report specific; do not merge, average, substitute, or normalize it across primary and companion reports.</x:v>
      </x:c>
    </x:row>
    <x:row r="10" ht="42" customHeight="1">
      <x:c r="A10" s="21" t="str">
        <x:v>STC-TUNABLE-LASER-THZ-FMCW-2025-2026</x:v>
      </x:c>
      <x:c r="B10" s="21" t="str">
        <x:v>RPT-SCR-00553-01</x:v>
      </x:c>
      <x:c r="C10" s="21" t="str">
        <x:v>SCR-00553</x:v>
      </x:c>
      <x:c r="D10" s="21" t="str">
        <x:v>OISAC_SCR00553</x:v>
      </x:c>
      <x:c r="E10" s="21" t="str">
        <x:v>P03-M007</x:v>
      </x:c>
      <x:c r="F10" s="21" t="str">
        <x:v>communication</x:v>
      </x:c>
      <x:c r="G10" s="21" t="str">
        <x:v>data_rate</x:v>
      </x:c>
      <x:c r="H10" s="21" t="str">
        <x:v>ASK data rate</x:v>
      </x:c>
      <x:c r="I10" s="21" t="str">
        <x:v>10</x:v>
      </x:c>
      <x:c r="J10" s="21" t="str"/>
      <x:c r="K10" s="21" t="str"/>
      <x:c r="L10" s="21" t="str">
        <x:v>Gbit/s</x:v>
      </x:c>
      <x:c r="M10" s="21" t="str">
        <x:v>C-SCR00553-JW-R10</x:v>
      </x:c>
      <x:c r="N10" s="21" t="str">
        <x:v>2025 joint waveform</x:v>
      </x:c>
      <x:c r="O10" s="21" t="str"/>
      <x:c r="P10" s="21" t="str">
        <x:v>PDF p. 1-2; Abstract; Results; Figure 3a</x:v>
      </x:c>
      <x:c r="Q10" s="21" t="str">
        <x:v>yes</x:v>
      </x:c>
      <x:c r="R10" s="21" t="str">
        <x:v>supported_with_source_specific_guardrail</x:v>
      </x:c>
      <x:c r="S10" s="21" t="str">
        <x:v>eligible_quantitative</x:v>
      </x:c>
      <x:c r="T10" s="21" t="str">
        <x:v>conditionally_admissible</x:v>
      </x:c>
      <x:c r="U10" s="21" t="str">
        <x:v>no</x:v>
      </x:c>
      <x:c r="V10" s="21" t="str">
        <x:v>metric_scope_or_definition_guardrail</x:v>
      </x:c>
      <x:c r="W10" s="21" t="str">
        <x:v>retain_report_specific_only</x:v>
      </x:c>
      <x:c r="X10" s="21" t="str">
        <x:v>Keep this value report specific; do not merge, average, substitute, or normalize it across primary and companion reports.</x:v>
      </x:c>
    </x:row>
    <x:row r="11" ht="42" customHeight="1">
      <x:c r="A11" s="21" t="str">
        <x:v>STC-TUNABLE-LASER-THZ-FMCW-2025-2026</x:v>
      </x:c>
      <x:c r="B11" s="21" t="str">
        <x:v>RPT-SCR-00553-01</x:v>
      </x:c>
      <x:c r="C11" s="21" t="str">
        <x:v>SCR-00553</x:v>
      </x:c>
      <x:c r="D11" s="21" t="str">
        <x:v>OISAC_SCR00553</x:v>
      </x:c>
      <x:c r="E11" s="21" t="str">
        <x:v>P03-M008</x:v>
      </x:c>
      <x:c r="F11" s="21" t="str">
        <x:v>communication</x:v>
      </x:c>
      <x:c r="G11" s="21" t="str">
        <x:v>BER</x:v>
      </x:c>
      <x:c r="H11" s="21" t="str">
        <x:v>Bit error rate at 10 Gbit/s</x:v>
      </x:c>
      <x:c r="I11" s="21" t="str">
        <x:v>1e-13</x:v>
      </x:c>
      <x:c r="J11" s="21" t="str"/>
      <x:c r="K11" s="21" t="str"/>
      <x:c r="L11" s="21" t="str">
        <x:v>dimensionless</x:v>
      </x:c>
      <x:c r="M11" s="21" t="str">
        <x:v>C-SCR00553-JW-R10</x:v>
      </x:c>
      <x:c r="N11" s="21" t="str">
        <x:v>2025 joint waveform</x:v>
      </x:c>
      <x:c r="O11" s="21" t="str"/>
      <x:c r="P11" s="21" t="str">
        <x:v>PDF p. 1-2; Abstract; Results; Figure 3a</x:v>
      </x:c>
      <x:c r="Q11" s="21" t="str">
        <x:v>yes</x:v>
      </x:c>
      <x:c r="R11" s="21" t="str">
        <x:v>supported_with_source_specific_guardrail</x:v>
      </x:c>
      <x:c r="S11" s="21" t="str">
        <x:v>eligible_quantitative</x:v>
      </x:c>
      <x:c r="T11" s="21" t="str">
        <x:v>conditionally_admissible</x:v>
      </x:c>
      <x:c r="U11" s="21" t="str">
        <x:v>no</x:v>
      </x:c>
      <x:c r="V11" s="21" t="str">
        <x:v>metric_scope_or_definition_guardrail</x:v>
      </x:c>
      <x:c r="W11" s="21" t="str">
        <x:v>retain_report_specific_only</x:v>
      </x:c>
      <x:c r="X11" s="21" t="str">
        <x:v>Keep this value report specific; do not merge, average, substitute, or normalize it across primary and companion reports.</x:v>
      </x:c>
    </x:row>
    <x:row r="12" ht="42" customHeight="1">
      <x:c r="A12" s="21" t="str">
        <x:v>STC-TUNABLE-LASER-THZ-FMCW-2025-2026</x:v>
      </x:c>
      <x:c r="B12" s="21" t="str">
        <x:v>RPT-SCR-00553-01</x:v>
      </x:c>
      <x:c r="C12" s="21" t="str">
        <x:v>SCR-00553</x:v>
      </x:c>
      <x:c r="D12" s="21" t="str">
        <x:v>OISAC_SCR00553</x:v>
      </x:c>
      <x:c r="E12" s="21" t="str">
        <x:v>P03-M009</x:v>
      </x:c>
      <x:c r="F12" s="21" t="str">
        <x:v>communication</x:v>
      </x:c>
      <x:c r="G12" s="21" t="str">
        <x:v>data_rate</x:v>
      </x:c>
      <x:c r="H12" s="21" t="str">
        <x:v>ASK data rate</x:v>
      </x:c>
      <x:c r="I12" s="21" t="str">
        <x:v>12.5</x:v>
      </x:c>
      <x:c r="J12" s="21" t="str"/>
      <x:c r="K12" s="21" t="str"/>
      <x:c r="L12" s="21" t="str">
        <x:v>Gbit/s</x:v>
      </x:c>
      <x:c r="M12" s="21" t="str">
        <x:v>C-SCR00553-JW-R12P5</x:v>
      </x:c>
      <x:c r="N12" s="21" t="str">
        <x:v>2025 joint waveform</x:v>
      </x:c>
      <x:c r="O12" s="21" t="str"/>
      <x:c r="P12" s="21" t="str">
        <x:v>PDF p. 1-2; Abstract; Results; Figure 3b</x:v>
      </x:c>
      <x:c r="Q12" s="21" t="str">
        <x:v>yes</x:v>
      </x:c>
      <x:c r="R12" s="21" t="str">
        <x:v>supported_with_source_specific_guardrail</x:v>
      </x:c>
      <x:c r="S12" s="21" t="str">
        <x:v>eligible_quantitative</x:v>
      </x:c>
      <x:c r="T12" s="21" t="str">
        <x:v>conditionally_admissible</x:v>
      </x:c>
      <x:c r="U12" s="21" t="str">
        <x:v>no</x:v>
      </x:c>
      <x:c r="V12" s="21" t="str">
        <x:v>metric_scope_or_definition_guardrail</x:v>
      </x:c>
      <x:c r="W12" s="21" t="str">
        <x:v>retain_report_specific_only</x:v>
      </x:c>
      <x:c r="X12" s="21" t="str">
        <x:v>Keep this value report specific; do not merge, average, substitute, or normalize it across primary and companion reports.</x:v>
      </x:c>
    </x:row>
    <x:row r="13" ht="42" customHeight="1">
      <x:c r="A13" s="21" t="str">
        <x:v>STC-TUNABLE-LASER-THZ-FMCW-2025-2026</x:v>
      </x:c>
      <x:c r="B13" s="21" t="str">
        <x:v>RPT-SCR-00553-01</x:v>
      </x:c>
      <x:c r="C13" s="21" t="str">
        <x:v>SCR-00553</x:v>
      </x:c>
      <x:c r="D13" s="21" t="str">
        <x:v>OISAC_SCR00553</x:v>
      </x:c>
      <x:c r="E13" s="21" t="str">
        <x:v>P03-M010</x:v>
      </x:c>
      <x:c r="F13" s="21" t="str">
        <x:v>communication</x:v>
      </x:c>
      <x:c r="G13" s="21" t="str">
        <x:v>BER</x:v>
      </x:c>
      <x:c r="H13" s="21" t="str">
        <x:v>Bit error rate at 12.5 Gbit/s</x:v>
      </x:c>
      <x:c r="I13" s="21" t="str">
        <x:v>9.07e-8</x:v>
      </x:c>
      <x:c r="J13" s="21" t="str"/>
      <x:c r="K13" s="21" t="str"/>
      <x:c r="L13" s="21" t="str">
        <x:v>dimensionless</x:v>
      </x:c>
      <x:c r="M13" s="21" t="str">
        <x:v>C-SCR00553-JW-R12P5</x:v>
      </x:c>
      <x:c r="N13" s="21" t="str">
        <x:v>2025 joint waveform</x:v>
      </x:c>
      <x:c r="O13" s="21" t="str"/>
      <x:c r="P13" s="21" t="str">
        <x:v>PDF p. 1-2; Abstract; Results; Figure 3b</x:v>
      </x:c>
      <x:c r="Q13" s="21" t="str">
        <x:v>yes</x:v>
      </x:c>
      <x:c r="R13" s="21" t="str">
        <x:v>supported_with_source_specific_guardrail</x:v>
      </x:c>
      <x:c r="S13" s="21" t="str">
        <x:v>eligible_quantitative</x:v>
      </x:c>
      <x:c r="T13" s="21" t="str">
        <x:v>conditionally_admissible</x:v>
      </x:c>
      <x:c r="U13" s="21" t="str">
        <x:v>no</x:v>
      </x:c>
      <x:c r="V13" s="21" t="str">
        <x:v>metric_scope_or_definition_guardrail</x:v>
      </x:c>
      <x:c r="W13" s="21" t="str">
        <x:v>retain_report_specific_only</x:v>
      </x:c>
      <x:c r="X13" s="21" t="str">
        <x:v>Keep this value report specific; do not merge, average, substitute, or normalize it across primary and companion reports.</x:v>
      </x:c>
    </x:row>
    <x:row r="14" ht="42" customHeight="1">
      <x:c r="A14" s="21" t="str">
        <x:v>STC-FRDM-POLARIZATION-SENSING-2025-2026</x:v>
      </x:c>
      <x:c r="B14" s="21" t="str">
        <x:v>RPT-SCR-00592-01</x:v>
      </x:c>
      <x:c r="C14" s="21" t="str">
        <x:v>SCR-00592</x:v>
      </x:c>
      <x:c r="D14" s="21" t="str">
        <x:v>OISAC_SCR00592</x:v>
      </x:c>
      <x:c r="E14" s="21" t="str">
        <x:v>MET-R01-SCR00592-001</x:v>
      </x:c>
      <x:c r="F14" s="21" t="str">
        <x:v>communication</x:v>
      </x:c>
      <x:c r="G14" s="21" t="str">
        <x:v>OSNR</x:v>
      </x:c>
      <x:c r="H14" s="21" t="str">
        <x:v>SD-FEC OSNR penalty after SIC</x:v>
      </x:c>
      <x:c r="I14" s="21" t="str">
        <x:v>1.2</x:v>
      </x:c>
      <x:c r="J14" s="21" t="str"/>
      <x:c r="K14" s="21" t="str"/>
      <x:c r="L14" s="21" t="str">
        <x:v>dB</x:v>
      </x:c>
      <x:c r="M14" s="21" t="str">
        <x:v>COND-SCR00592-SD-FEC-SIC</x:v>
      </x:c>
      <x:c r="N14" s="21" t="str">
        <x:v>Conference companion, FrDM with matched-dechirp SIC</x:v>
      </x:c>
      <x:c r="O14" s="21" t="str"/>
      <x:c r="P14" s="21" t="str">
        <x:v>PDF p. 2; I. Introduction</x:v>
      </x:c>
      <x:c r="Q14" s="21" t="str">
        <x:v>yes_report_specific_difference</x:v>
      </x:c>
      <x:c r="R14" s="21" t="str">
        <x:v>supported_with_source_specific_guardrail</x:v>
      </x:c>
      <x:c r="S14" s="21" t="str">
        <x:v>eligible_quantitative</x:v>
      </x:c>
      <x:c r="T14" s="21" t="str">
        <x:v>not_admissible</x:v>
      </x:c>
      <x:c r="U14" s="21" t="str">
        <x:v>no</x:v>
      </x:c>
      <x:c r="V14" s="21" t="str">
        <x:v>metric_scope_or_definition_guardrail</x:v>
      </x:c>
      <x:c r="W14" s="21" t="str">
        <x:v>retain_report_specific_only</x:v>
      </x:c>
      <x:c r="X14" s="21" t="str">
        <x:v>Keep this value report specific; do not merge, average, substitute, or normalize it across primary and companion reports.</x:v>
      </x:c>
    </x:row>
    <x:row r="15" ht="42" customHeight="1">
      <x:c r="A15" s="22" t="str">
        <x:v>STC-FRDM-POLARIZATION-SENSING-2025-2026</x:v>
      </x:c>
      <x:c r="B15" s="22" t="str">
        <x:v>RPT-SCR-00592-01</x:v>
      </x:c>
      <x:c r="C15" s="22" t="str">
        <x:v>SCR-00592</x:v>
      </x:c>
      <x:c r="D15" s="22" t="str">
        <x:v>OISAC_SCR00592</x:v>
      </x:c>
      <x:c r="E15" s="22" t="str">
        <x:v>MET-R01-SCR00592-002</x:v>
      </x:c>
      <x:c r="F15" s="22" t="str">
        <x:v>sensing</x:v>
      </x:c>
      <x:c r="G15" s="22" t="str">
        <x:v>sensing_SNR</x:v>
      </x:c>
      <x:c r="H15" s="22" t="str">
        <x:v>Sensing-SNR degradation over OSNR sweep</x:v>
      </x:c>
      <x:c r="I15" s="22" t="str">
        <x:v>1.2</x:v>
      </x:c>
      <x:c r="J15" s="22" t="str"/>
      <x:c r="K15" s="22" t="str"/>
      <x:c r="L15" s="22" t="str">
        <x:v>dB degradation</x:v>
      </x:c>
      <x:c r="M15" s="22" t="str">
        <x:v>COND-SCR00592-OSNR-SWEEP</x:v>
      </x:c>
      <x:c r="N15" s="22" t="str">
        <x:v>Conference companion FrDM sensing robustness sweep</x:v>
      </x:c>
      <x:c r="O15" s="22" t="str"/>
      <x:c r="P15" s="22" t="str">
        <x:v>PDF p. 1;4; Abstract; III. Experimental Setup and Discussions; Fig. 5</x:v>
      </x:c>
      <x:c r="Q15" s="22" t="str">
        <x:v>yes_report_specific_difference</x:v>
      </x:c>
      <x:c r="R15" s="22" t="str">
        <x:v>supported_with_source_specific_guardrail</x:v>
      </x:c>
      <x:c r="S15" s="22" t="str">
        <x:v>eligible_quantitative</x:v>
      </x:c>
      <x:c r="T15" s="22" t="str">
        <x:v>not_admissible</x:v>
      </x:c>
      <x:c r="U15" s="22" t="str">
        <x:v>no</x:v>
      </x:c>
      <x:c r="V15" s="22" t="str">
        <x:v>metric_scope_or_definition_guardrail</x:v>
      </x:c>
      <x:c r="W15" s="22" t="str">
        <x:v>retain_report_specific_only</x:v>
      </x:c>
      <x:c r="X15" s="22" t="str">
        <x:v>Keep this value report specific; do not merge, average, substitute, or normalize it across primary and companion reports.</x:v>
      </x:c>
    </x:row>
  </x:sheetData>
  <x:pageMargins left="0.7" right="0.7" top="0.75" bottom="0.75" header="0.3" footer="0.3"/>
  <x:tableParts count="1">
    <x:tablePart xmlns:r="http://schemas.openxmlformats.org/officeDocument/2006/relationships" r:id="R60c74004fd944506"/>
  </x:tableParts>
</x:worksheet>
</file>